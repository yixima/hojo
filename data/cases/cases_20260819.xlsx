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リスト" sheetId="1" state="visible" r:id="rId1"/>
    <sheet name="凡例・項目定義" sheetId="2" state="visible" r:id="rId2"/>
  </sheets>
  <definedNames>
    <definedName name="_xlnm._FilterDatabase" localSheetId="0" hidden="1">'案件リスト'!$A$3:$Z$22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¥#,##0;;&quot;—&quot;"/>
    <numFmt numFmtId="166" formatCode="yyyy-mm-dd h:mm:ss"/>
    <numFmt numFmtId="167" formatCode="yyyy-mm-dd hh:mm"/>
  </numFmts>
  <fonts count="23">
    <font>
      <name val="Calibri"/>
      <family val="2"/>
      <color theme="1"/>
      <sz val="11"/>
      <scheme val="minor"/>
    </font>
    <font>
      <name val="Yu Gothic"/>
      <b val="1"/>
      <color rgb="0014304F"/>
      <sz val="14"/>
    </font>
    <font>
      <name val="Yu Gothic"/>
      <b val="1"/>
      <color rgb="0014202E"/>
      <sz val="10"/>
    </font>
    <font>
      <name val="Yu Gothic"/>
      <color rgb="006B7887"/>
      <sz val="9"/>
    </font>
    <font>
      <name val="Yu Gothic"/>
      <b val="1"/>
      <color rgb="00FFFFFF"/>
      <sz val="9.5"/>
    </font>
    <font>
      <name val="Yu Gothic"/>
      <color rgb="0014202E"/>
      <sz val="9.5"/>
    </font>
    <font>
      <name val="Yu Gothic"/>
      <b val="1"/>
      <color rgb="001E4A7B"/>
      <sz val="9.5"/>
    </font>
    <font>
      <name val="Yu Gothic"/>
      <b val="1"/>
      <color rgb="00BE3A2B"/>
      <sz val="9.5"/>
    </font>
    <font>
      <name val="Yu Gothic"/>
      <b val="1"/>
      <color rgb="0014202E"/>
      <sz val="9.5"/>
    </font>
    <font>
      <name val="Yu Gothic"/>
      <color rgb="006B7887"/>
      <sz val="9.5"/>
    </font>
    <font>
      <name val="Yu Gothic"/>
      <color rgb="002C6D5E"/>
      <sz val="9.5"/>
    </font>
    <font>
      <name val="Yu Gothic"/>
      <color rgb="0014202E"/>
      <sz val="9"/>
    </font>
    <font>
      <name val="Yu Gothic"/>
      <color rgb="008E6A16"/>
      <sz val="9.5"/>
    </font>
    <font>
      <name val="Yu Gothic"/>
      <b val="1"/>
      <color rgb="008E6A16"/>
      <sz val="9.5"/>
    </font>
    <font>
      <name val="Yu Gothic"/>
      <b val="1"/>
      <color rgb="002C6D5E"/>
      <sz val="9.5"/>
    </font>
    <font>
      <name val="Yu Gothic"/>
      <color rgb="000563C1"/>
      <sz val="9.5"/>
    </font>
    <font>
      <name val="Yu Gothic"/>
      <color rgb="000563C1"/>
      <sz val="9.5"/>
      <u val="single"/>
    </font>
    <font>
      <name val="Yu Gothic"/>
      <color rgb="000563C1"/>
      <sz val="8.5"/>
    </font>
    <font>
      <name val="Yu Gothic"/>
      <color rgb="000563C1"/>
      <sz val="8.5"/>
      <u val="single"/>
    </font>
    <font>
      <name val="Yu Gothic"/>
      <color rgb="008E6A16"/>
      <sz val="9"/>
    </font>
    <font>
      <name val="Yu Gothic"/>
      <b val="1"/>
      <color rgb="006B7887"/>
      <sz val="9.5"/>
    </font>
    <font>
      <name val="Yu Gothic"/>
      <color rgb="00BE3A2B"/>
      <sz val="9"/>
    </font>
    <font>
      <name val="Yu Gothic"/>
      <b val="1"/>
      <color rgb="0014304F"/>
      <sz val="13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4304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3D9E1"/>
      </left>
      <right style="thin">
        <color rgb="00D3D9E1"/>
      </right>
      <top style="thin">
        <color rgb="00D3D9E1"/>
      </top>
      <bottom style="thin">
        <color rgb="00D3D9E1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164" fontId="2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/>
    </xf>
    <xf numFmtId="1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/>
    </xf>
    <xf numFmtId="165" fontId="8" fillId="0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164" fontId="9" fillId="0" borderId="1" applyAlignment="1" pivotButton="0" quotePrefix="0" xfId="0">
      <alignment horizontal="left" vertical="top"/>
    </xf>
    <xf numFmtId="167" fontId="8" fillId="0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left" vertical="top" wrapText="1"/>
    </xf>
    <xf numFmtId="164" fontId="12" fillId="0" borderId="1" applyAlignment="1" pivotButton="0" quotePrefix="0" xfId="0">
      <alignment horizontal="left" vertical="top"/>
    </xf>
    <xf numFmtId="0" fontId="1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/>
    </xf>
    <xf numFmtId="0" fontId="16" fillId="0" borderId="1" applyAlignment="1" pivotButton="0" quotePrefix="0" xfId="0">
      <alignment horizontal="left" vertical="top"/>
    </xf>
    <xf numFmtId="0" fontId="18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8" fillId="4" borderId="1" applyAlignment="1" pivotButton="0" quotePrefix="0" xfId="0">
      <alignment horizontal="left" vertical="top"/>
    </xf>
    <xf numFmtId="1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/>
    </xf>
    <xf numFmtId="164" fontId="9" fillId="4" borderId="1" applyAlignment="1" pivotButton="0" quotePrefix="0" xfId="0">
      <alignment horizontal="left" vertical="top"/>
    </xf>
    <xf numFmtId="167" fontId="8" fillId="4" borderId="1" applyAlignment="1" pivotButton="0" quotePrefix="0" xfId="0">
      <alignment horizontal="left" vertical="top"/>
    </xf>
    <xf numFmtId="0" fontId="11" fillId="4" borderId="1" applyAlignment="1" pivotButton="0" quotePrefix="0" xfId="0">
      <alignment horizontal="left" vertical="top" wrapText="1"/>
    </xf>
    <xf numFmtId="164" fontId="12" fillId="4" borderId="1" applyAlignment="1" pivotButton="0" quotePrefix="0" xfId="0">
      <alignment horizontal="left" vertical="top"/>
    </xf>
    <xf numFmtId="0" fontId="1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left" vertical="top"/>
    </xf>
    <xf numFmtId="0" fontId="18" fillId="4" borderId="1" applyAlignment="1" pivotButton="0" quotePrefix="0" xfId="0">
      <alignment horizontal="left" vertical="top"/>
    </xf>
    <xf numFmtId="0" fontId="20" fillId="0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/>
    </xf>
    <xf numFmtId="165" fontId="8" fillId="4" borderId="1" applyAlignment="1" pivotButton="0" quotePrefix="0" xfId="0">
      <alignment horizontal="left" vertical="top"/>
    </xf>
    <xf numFmtId="0" fontId="10" fillId="4" borderId="1" applyAlignment="1" pivotButton="0" quotePrefix="0" xfId="0">
      <alignment horizontal="left" vertical="top"/>
    </xf>
    <xf numFmtId="0" fontId="20" fillId="4" borderId="1" applyAlignment="1" pivotButton="0" quotePrefix="0" xfId="0">
      <alignment horizontal="left" vertical="top"/>
    </xf>
    <xf numFmtId="0" fontId="21" fillId="0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/>
    </xf>
    <xf numFmtId="0" fontId="14" fillId="4" borderId="1" applyAlignment="1" pivotButton="0" quotePrefix="0" xfId="0">
      <alignment horizontal="left" vertical="top"/>
    </xf>
    <xf numFmtId="0" fontId="13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22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1" pivotButton="0" quotePrefix="0" xfId="0"/>
    <xf numFmtId="0" fontId="8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ude.ai/code/artifact/6f25d20f-a5ce-4db2-b4b2-5e46415b52a6#s2" TargetMode="External" Id="rId1" /><Relationship Type="http://schemas.openxmlformats.org/officeDocument/2006/relationships/hyperlink" Target="https://r6.kyodokyogyohojokin.info/" TargetMode="External" Id="rId2" /><Relationship Type="http://schemas.openxmlformats.org/officeDocument/2006/relationships/hyperlink" Target="https://claude.ai/code/artifact/6f25d20f-a5ce-4db2-b4b2-5e46415b52a6#s4" TargetMode="External" Id="rId3" /><Relationship Type="http://schemas.openxmlformats.org/officeDocument/2006/relationships/hyperlink" Target="https://www.jetro.go.jp/procurement/bid/ode/b086abd8177ce6da.html" TargetMode="External" Id="rId4" /><Relationship Type="http://schemas.openxmlformats.org/officeDocument/2006/relationships/hyperlink" Target="https://claude.ai/code/artifact/6f25d20f-a5ce-4db2-b4b2-5e46415b52a6#s1" TargetMode="External" Id="rId5" /><Relationship Type="http://schemas.openxmlformats.org/officeDocument/2006/relationships/hyperlink" Target="https://www.chancenavi.jp/bcn/uab0401/index" TargetMode="External" Id="rId6" /><Relationship Type="http://schemas.openxmlformats.org/officeDocument/2006/relationships/hyperlink" Target="https://claude.ai/code/artifact/6f25d20f-a5ce-4db2-b4b2-5e46415b52a6#s1" TargetMode="External" Id="rId7" /><Relationship Type="http://schemas.openxmlformats.org/officeDocument/2006/relationships/hyperlink" Target="https://www.chancenavi.jp/bcn/uab0401/index" TargetMode="External" Id="rId8" /><Relationship Type="http://schemas.openxmlformats.org/officeDocument/2006/relationships/hyperlink" Target="https://claude.ai/code/artifact/6f25d20f-a5ce-4db2-b4b2-5e46415b52a6#s1" TargetMode="External" Id="rId9" /><Relationship Type="http://schemas.openxmlformats.org/officeDocument/2006/relationships/hyperlink" Target="https://www.tokyo-kosha.or.jp/kosha/keiyaku/index.html" TargetMode="External" Id="rId10" /><Relationship Type="http://schemas.openxmlformats.org/officeDocument/2006/relationships/hyperlink" Target="https://claude.ai/code/artifact/6f25d20f-a5ce-4db2-b4b2-5e46415b52a6#s3" TargetMode="External" Id="rId11" /><Relationship Type="http://schemas.openxmlformats.org/officeDocument/2006/relationships/hyperlink" Target="https://www.jetro.go.jp/procurement/publicoffer/ode/fb7b1b718a1d1371.html" TargetMode="External" Id="rId12" /><Relationship Type="http://schemas.openxmlformats.org/officeDocument/2006/relationships/hyperlink" Target="https://claude.ai/code/artifact/6f25d20f-a5ce-4db2-b4b2-5e46415b52a6#s3" TargetMode="External" Id="rId13" /><Relationship Type="http://schemas.openxmlformats.org/officeDocument/2006/relationships/hyperlink" Target="https://www.jpf.go.jp/j/about/bid/proposal/p_260731_1.html" TargetMode="External" Id="rId14" /><Relationship Type="http://schemas.openxmlformats.org/officeDocument/2006/relationships/hyperlink" Target="https://claude.ai/code/artifact/6f25d20f-a5ce-4db2-b4b2-5e46415b52a6#s5" TargetMode="External" Id="rId15" /><Relationship Type="http://schemas.openxmlformats.org/officeDocument/2006/relationships/hyperlink" Target="https://www.tokyo-kosha.or.jp/kosha/keiyaku/index.html" TargetMode="External" Id="rId16" /><Relationship Type="http://schemas.openxmlformats.org/officeDocument/2006/relationships/hyperlink" Target="https://claude.ai/code/artifact/6f25d20f-a5ce-4db2-b4b2-5e46415b52a6#s5" TargetMode="External" Id="rId17" /><Relationship Type="http://schemas.openxmlformats.org/officeDocument/2006/relationships/hyperlink" Target="https://kyokai.kougeihin.jp/association_cat/&#20844;&#21215;&#20844;&#21578;/" TargetMode="External" Id="rId18" /><Relationship Type="http://schemas.openxmlformats.org/officeDocument/2006/relationships/hyperlink" Target="https://claude.ai/code/artifact/6f25d20f-a5ce-4db2-b4b2-5e46415b52a6#s5" TargetMode="External" Id="rId19" /><Relationship Type="http://schemas.openxmlformats.org/officeDocument/2006/relationships/hyperlink" Target="https://kyokai.kougeihin.jp/association_cat/&#20844;&#21215;&#20844;&#21578;/" TargetMode="External" Id="rId20" /><Relationship Type="http://schemas.openxmlformats.org/officeDocument/2006/relationships/hyperlink" Target="https://claude.ai/code/artifact/6f25d20f-a5ce-4db2-b4b2-5e46415b52a6#s5" TargetMode="External" Id="rId21" /><Relationship Type="http://schemas.openxmlformats.org/officeDocument/2006/relationships/hyperlink" Target="https://www.tokyo-kosha.or.jp/kosha/keiyaku/index.html" TargetMode="External" Id="rId22" /><Relationship Type="http://schemas.openxmlformats.org/officeDocument/2006/relationships/hyperlink" Target="https://claude.ai/code/artifact/6f25d20f-a5ce-4db2-b4b2-5e46415b52a6#s5" TargetMode="External" Id="rId23" /><Relationship Type="http://schemas.openxmlformats.org/officeDocument/2006/relationships/hyperlink" Target="https://www.tokyo-kosha.or.jp/kosha/keiyaku/index.html" TargetMode="External" Id="rId24" /><Relationship Type="http://schemas.openxmlformats.org/officeDocument/2006/relationships/hyperlink" Target="https://claude.ai/code/artifact/6f25d20f-a5ce-4db2-b4b2-5e46415b52a6#s5" TargetMode="External" Id="rId25" /><Relationship Type="http://schemas.openxmlformats.org/officeDocument/2006/relationships/hyperlink" Target="https://www.tokyo-kosha.or.jp/kosha/keiyaku/index.html" TargetMode="External" Id="rId26" /><Relationship Type="http://schemas.openxmlformats.org/officeDocument/2006/relationships/hyperlink" Target="https://claude.ai/code/artifact/6f25d20f-a5ce-4db2-b4b2-5e46415b52a6#s5" TargetMode="External" Id="rId27" /><Relationship Type="http://schemas.openxmlformats.org/officeDocument/2006/relationships/hyperlink" Target="https://www.chusho.meti.go.jp/koukai/hojyokin/kobo.html" TargetMode="External" Id="rId28" /><Relationship Type="http://schemas.openxmlformats.org/officeDocument/2006/relationships/hyperlink" Target="https://claude.ai/code/artifact/6f25d20f-a5ce-4db2-b4b2-5e46415b52a6#s5" TargetMode="External" Id="rId29" /><Relationship Type="http://schemas.openxmlformats.org/officeDocument/2006/relationships/hyperlink" Target="https://www.jetro.go.jp/procurement/bidtop/bid/service06/" TargetMode="External" Id="rId30" /><Relationship Type="http://schemas.openxmlformats.org/officeDocument/2006/relationships/hyperlink" Target="https://claude.ai/code/artifact/6f25d20f-a5ce-4db2-b4b2-5e46415b52a6#s5" TargetMode="External" Id="rId31" /><Relationship Type="http://schemas.openxmlformats.org/officeDocument/2006/relationships/hyperlink" Target="https://www.jetro.go.jp/procurement/bidtop/bid/service06/" TargetMode="External" Id="rId32" /><Relationship Type="http://schemas.openxmlformats.org/officeDocument/2006/relationships/hyperlink" Target="https://claude.ai/code/artifact/6f25d20f-a5ce-4db2-b4b2-5e46415b52a6#s5" TargetMode="External" Id="rId33" /><Relationship Type="http://schemas.openxmlformats.org/officeDocument/2006/relationships/hyperlink" Target="https://www.jetro.go.jp/procurement/bidtop/bid/service06/" TargetMode="External" Id="rId34" /><Relationship Type="http://schemas.openxmlformats.org/officeDocument/2006/relationships/hyperlink" Target="https://claude.ai/code/artifact/6f25d20f-a5ce-4db2-b4b2-5e46415b52a6#s5" TargetMode="External" Id="rId35" /><Relationship Type="http://schemas.openxmlformats.org/officeDocument/2006/relationships/hyperlink" Target="https://www.tokyo-kosha.or.jp/kosha/keiyaku/index.html" TargetMode="External" Id="rId36" /><Relationship Type="http://schemas.openxmlformats.org/officeDocument/2006/relationships/hyperlink" Target="https://claude.ai/code/artifact/6f25d20f-a5ce-4db2-b4b2-5e46415b52a6#s5" TargetMode="External" Id="rId37" /><Relationship Type="http://schemas.openxmlformats.org/officeDocument/2006/relationships/hyperlink" Target="https://kyokai.kougeihin.jp/association_cat/&#20844;&#21215;&#20844;&#21578;/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" customWidth="1" min="3" max="3"/>
    <col width="9" customWidth="1" min="4" max="4"/>
    <col width="8" customWidth="1" min="5" max="5"/>
    <col width="46" customWidth="1" min="6" max="6"/>
    <col width="13" customWidth="1" min="7" max="7"/>
    <col width="24" customWidth="1" min="8" max="8"/>
    <col width="15" customWidth="1" min="9" max="9"/>
    <col width="18" customWidth="1" min="10" max="10"/>
    <col width="12" customWidth="1" min="11" max="11"/>
    <col width="17" customWidth="1" min="12" max="12"/>
    <col width="17" customWidth="1" min="13" max="13"/>
    <col width="34" customWidth="1" min="14" max="14"/>
    <col width="12" customWidth="1" min="15" max="15"/>
    <col width="16" customWidth="1" min="16" max="16"/>
    <col width="40" customWidth="1" min="17" max="17"/>
    <col width="12" customWidth="1" min="18" max="18"/>
    <col width="26" customWidth="1" min="19" max="19"/>
    <col width="34" customWidth="1" min="20" max="20"/>
    <col width="34" customWidth="1" min="21" max="21"/>
    <col width="10" customWidth="1" min="22" max="22"/>
    <col width="34" customWidth="1" min="23" max="23"/>
    <col width="10" customWidth="1" min="24" max="24"/>
    <col width="12" customWidth="1" min="25" max="25"/>
    <col width="40" customWidth="1" min="26" max="26"/>
  </cols>
  <sheetData>
    <row r="1" ht="22" customHeight="1">
      <c r="A1" s="1" t="inlineStr">
        <is>
          <t>公募案件リスト 2026.08.19</t>
        </is>
      </c>
      <c r="G1" s="2" t="inlineStr">
        <is>
          <t>基準日 →</t>
        </is>
      </c>
      <c r="H1" s="3" t="n">
        <v>46253</v>
      </c>
      <c r="I1" s="4" t="inlineStr">
        <is>
          <t>← ここを今日の日付に変えると 残日数 と 緊急度 が再計算されます</t>
        </is>
      </c>
    </row>
    <row r="3" ht="30" customHeight="1">
      <c r="A3" s="5" t="inlineStr">
        <is>
          <t>No.</t>
        </is>
      </c>
      <c r="B3" s="5" t="inlineStr">
        <is>
          <t>区分</t>
        </is>
      </c>
      <c r="C3" s="5" t="inlineStr">
        <is>
          <t>格付</t>
        </is>
      </c>
      <c r="D3" s="5" t="inlineStr">
        <is>
          <t>緊急度</t>
        </is>
      </c>
      <c r="E3" s="5" t="inlineStr">
        <is>
          <t>残日数</t>
        </is>
      </c>
      <c r="F3" s="5" t="inlineStr">
        <is>
          <t>案件名</t>
        </is>
      </c>
      <c r="G3" s="5" t="inlineStr">
        <is>
          <t>種別</t>
        </is>
      </c>
      <c r="H3" s="5" t="inlineStr">
        <is>
          <t>発注機関</t>
        </is>
      </c>
      <c r="I3" s="5" t="inlineStr">
        <is>
          <t>見込み金額</t>
        </is>
      </c>
      <c r="J3" s="5" t="inlineStr">
        <is>
          <t>金額確度</t>
        </is>
      </c>
      <c r="K3" s="5" t="inlineStr">
        <is>
          <t>公告日</t>
        </is>
      </c>
      <c r="L3" s="5" t="inlineStr">
        <is>
          <t>締切</t>
        </is>
      </c>
      <c r="M3" s="5" t="inlineStr">
        <is>
          <t>直近アクション期限</t>
        </is>
      </c>
      <c r="N3" s="5" t="inlineStr">
        <is>
          <t>直近アクションの内容</t>
        </is>
      </c>
      <c r="O3" s="5" t="inlineStr">
        <is>
          <t>推奨着手日</t>
        </is>
      </c>
      <c r="P3" s="5" t="inlineStr">
        <is>
          <t>予測公告時期</t>
        </is>
      </c>
      <c r="Q3" s="5" t="inlineStr">
        <is>
          <t>予測の根拠</t>
        </is>
      </c>
      <c r="R3" s="5" t="inlineStr">
        <is>
          <t>応募形態</t>
        </is>
      </c>
      <c r="S3" s="5" t="inlineStr">
        <is>
          <t>資格要否</t>
        </is>
      </c>
      <c r="T3" s="5" t="inlineStr">
        <is>
          <t>前提条件</t>
        </is>
      </c>
      <c r="U3" s="5" t="inlineStr">
        <is>
          <t>実績要件</t>
        </is>
      </c>
      <c r="V3" s="5" t="inlineStr">
        <is>
          <t>判定</t>
        </is>
      </c>
      <c r="W3" s="5" t="inlineStr">
        <is>
          <t>次アクション</t>
        </is>
      </c>
      <c r="X3" s="5" t="inlineStr">
        <is>
          <t>状態</t>
        </is>
      </c>
      <c r="Y3" s="5" t="inlineStr">
        <is>
          <t>レポート</t>
        </is>
      </c>
      <c r="Z3" s="5" t="inlineStr">
        <is>
          <t>一次情報URL</t>
        </is>
      </c>
    </row>
    <row r="4" ht="44" customHeight="1">
      <c r="A4" s="6" t="n">
        <v>1</v>
      </c>
      <c r="B4" s="7" t="inlineStr">
        <is>
          <t>公募中</t>
        </is>
      </c>
      <c r="C4" s="8" t="inlineStr">
        <is>
          <t>S</t>
        </is>
      </c>
      <c r="D4" s="9">
        <f>IF(E4="","",IF(E4&lt;=7,"至急",IF(E4&lt;=21,"要着手","通常")))</f>
        <v/>
      </c>
      <c r="E4" s="10">
        <f>IF(M4="","",INT(M4)-INT($H$1))</f>
        <v/>
      </c>
      <c r="F4" s="11" t="inlineStr">
        <is>
          <t>小規模事業者持続化補助金＜共同・協業型＞第3回</t>
        </is>
      </c>
      <c r="G4" s="12" t="inlineStr">
        <is>
          <t>補助金</t>
        </is>
      </c>
      <c r="H4" s="11" t="inlineStr">
        <is>
          <t>中小企業庁</t>
        </is>
      </c>
      <c r="I4" s="13" t="n">
        <v>30000000</v>
      </c>
      <c r="J4" s="14" t="inlineStr">
        <is>
          <t>◎確定</t>
        </is>
      </c>
      <c r="K4" s="15" t="n">
        <v>46211</v>
      </c>
      <c r="L4" s="16" t="n">
        <v>46295.70833333334</v>
      </c>
      <c r="M4" s="16" t="n">
        <v>46295.70833333334</v>
      </c>
      <c r="N4" s="17" t="inlineStr">
        <is>
          <t>Jグランツ提出（公表期限は締切のみ）</t>
        </is>
      </c>
      <c r="O4" s="18" t="n">
        <v>46258</v>
      </c>
      <c r="P4" s="19" t="inlineStr"/>
      <c r="Q4" s="20" t="inlineStr"/>
      <c r="R4" s="6" t="inlineStr">
        <is>
          <t>支援側</t>
        </is>
      </c>
      <c r="S4" s="20" t="inlineStr">
        <is>
          <t>不要</t>
        </is>
      </c>
      <c r="T4" s="17" t="inlineStr">
        <is>
          <t>GビズIDプライム必須（取得に数週間）／直近2年分の税務申告書・決算書</t>
        </is>
      </c>
      <c r="U4" s="17" t="inlineStr">
        <is>
          <t>○ 3611社・27自治体の支援実績で地域振興等機関の定義⑤を主張可</t>
        </is>
      </c>
      <c r="V4" s="21" t="inlineStr">
        <is>
          <t>応募推奨</t>
        </is>
      </c>
      <c r="W4" s="17" t="inlineStr">
        <is>
          <t>GビズIDプライム申請の着手と参画事業者5〜10者の内諾取得</t>
        </is>
      </c>
      <c r="X4" s="6" t="inlineStr">
        <is>
          <t>検討中</t>
        </is>
      </c>
      <c r="Y4" s="22" t="inlineStr">
        <is>
          <t>該当節へ</t>
        </is>
      </c>
      <c r="Z4" s="23" t="inlineStr">
        <is>
          <t>https://r6.kyodokyogyohojokin.info/</t>
        </is>
      </c>
    </row>
    <row r="5" ht="44" customHeight="1">
      <c r="A5" s="24" t="n">
        <v>2</v>
      </c>
      <c r="B5" s="25" t="inlineStr">
        <is>
          <t>公募中</t>
        </is>
      </c>
      <c r="C5" s="25" t="inlineStr">
        <is>
          <t>A</t>
        </is>
      </c>
      <c r="D5" s="26">
        <f>IF(E5="","",IF(E5&lt;=7,"至急",IF(E5&lt;=21,"要着手","通常")))</f>
        <v/>
      </c>
      <c r="E5" s="27">
        <f>IF(M5="","",INT(M5)-INT($H$1))</f>
        <v/>
      </c>
      <c r="F5" s="28" t="inlineStr">
        <is>
          <t>「2027年ベオグラード国際博覧会」日本館運営</t>
        </is>
      </c>
      <c r="G5" s="29" t="inlineStr">
        <is>
          <t>入札（総合評価）</t>
        </is>
      </c>
      <c r="H5" s="28" t="inlineStr">
        <is>
          <t>JETRO</t>
        </is>
      </c>
      <c r="I5" s="29" t="inlineStr">
        <is>
          <t>—</t>
        </is>
      </c>
      <c r="J5" s="30" t="inlineStr">
        <is>
          <t>△推定（億円規模）</t>
        </is>
      </c>
      <c r="K5" s="31" t="n">
        <v>46252</v>
      </c>
      <c r="L5" s="32" t="n">
        <v>46273.625</v>
      </c>
      <c r="M5" s="32" t="n">
        <v>46259.375</v>
      </c>
      <c r="N5" s="33" t="inlineStr">
        <is>
          <t>入札説明会の参加申込メール（ODE@jetro.go.jp）。次いで8/26 17:00までにJETRO等級確認申請</t>
        </is>
      </c>
      <c r="O5" s="34" t="n"/>
      <c r="P5" s="35" t="inlineStr"/>
      <c r="Q5" s="36" t="inlineStr"/>
      <c r="R5" s="24" t="inlineStr">
        <is>
          <t>単独または共同</t>
        </is>
      </c>
      <c r="S5" s="37" t="inlineStr">
        <is>
          <t>要（JETRO等級確認で代替可・申請期限 2026-08-26 17:00）</t>
        </is>
      </c>
      <c r="T5" s="33" t="inlineStr">
        <is>
          <t>Pマーク または ISMS認証が必須（保有状況 未確認）</t>
        </is>
      </c>
      <c r="U5" s="33" t="inlineStr">
        <is>
          <t>△ 入札説明書が未取得のため実績要件を未確認</t>
        </is>
      </c>
      <c r="V5" s="25" t="inlineStr">
        <is>
          <t>要検討</t>
        </is>
      </c>
      <c r="W5" s="33" t="inlineStr">
        <is>
          <t>Pマーク／ISMS の保有確認 → 8/25 説明会申込</t>
        </is>
      </c>
      <c r="X5" s="24" t="inlineStr">
        <is>
          <t>新規</t>
        </is>
      </c>
      <c r="Y5" s="38" t="inlineStr">
        <is>
          <t>該当節へ</t>
        </is>
      </c>
      <c r="Z5" s="39" t="inlineStr">
        <is>
          <t>https://www.jetro.go.jp/procurement/bid/ode/b086abd8177ce6da.html</t>
        </is>
      </c>
    </row>
    <row r="6" ht="44" customHeight="1">
      <c r="A6" s="6" t="n">
        <v>3</v>
      </c>
      <c r="B6" s="7" t="inlineStr">
        <is>
          <t>公募中</t>
        </is>
      </c>
      <c r="C6" s="7" t="inlineStr">
        <is>
          <t>A</t>
        </is>
      </c>
      <c r="D6" s="9">
        <f>IF(E6="","",IF(E6&lt;=7,"至急",IF(E6&lt;=21,"要着手","通常")))</f>
        <v/>
      </c>
      <c r="E6" s="10">
        <f>IF(M6="","",INT(M6)-INT($H$1))</f>
        <v/>
      </c>
      <c r="F6" s="11" t="inlineStr">
        <is>
          <t>第70回東京都伝統工芸品展に係る運営管理業務の委託</t>
        </is>
      </c>
      <c r="G6" s="12" t="inlineStr">
        <is>
          <t>希望制指名競争入札</t>
        </is>
      </c>
      <c r="H6" s="11" t="inlineStr">
        <is>
          <t>公益財団法人東京都中小企業振興公社</t>
        </is>
      </c>
      <c r="I6" s="12" t="inlineStr">
        <is>
          <t>—</t>
        </is>
      </c>
      <c r="J6" s="12" t="inlineStr">
        <is>
          <t>－非公開</t>
        </is>
      </c>
      <c r="K6" s="15" t="n">
        <v>46252</v>
      </c>
      <c r="L6" s="16" t="n">
        <v>46258.58333333334</v>
      </c>
      <c r="M6" s="16" t="n">
        <v>46258.58333333334</v>
      </c>
      <c r="N6" s="17" t="inlineStr">
        <is>
          <t>希望申請（入札書の提出ではない）。申請後に指名通知を受けて入札</t>
        </is>
      </c>
      <c r="O6" s="18" t="n"/>
      <c r="P6" s="19" t="inlineStr"/>
      <c r="Q6" s="20" t="inlineStr"/>
      <c r="R6" s="6" t="inlineStr">
        <is>
          <t>単独</t>
        </is>
      </c>
      <c r="S6" s="20" t="inlineStr">
        <is>
          <t>不要</t>
        </is>
      </c>
      <c r="T6" s="17" t="inlineStr">
        <is>
          <t>ビジネスチャンス・ナビ登録（無料）／営業経歴1年以上。入札資格・希望申請要件の指定なし</t>
        </is>
      </c>
      <c r="U6" s="17" t="inlineStr">
        <is>
          <t>○ 伝統工芸品の展示運営実績49回。公社での受注実績あり</t>
        </is>
      </c>
      <c r="V6" s="7" t="inlineStr">
        <is>
          <t>要検討</t>
        </is>
      </c>
      <c r="W6" s="17" t="inlineStr">
        <is>
          <t>8/24 14:00までに希望申請。仕様書はナビにログインして確認</t>
        </is>
      </c>
      <c r="X6" s="6" t="inlineStr">
        <is>
          <t>新規</t>
        </is>
      </c>
      <c r="Y6" s="22" t="inlineStr">
        <is>
          <t>該当節へ</t>
        </is>
      </c>
      <c r="Z6" s="23" t="inlineStr">
        <is>
          <t>https://www.chancenavi.jp/bcn/uab0401/index</t>
        </is>
      </c>
    </row>
    <row r="7" ht="44" customHeight="1">
      <c r="A7" s="24" t="n">
        <v>4</v>
      </c>
      <c r="B7" s="25" t="inlineStr">
        <is>
          <t>公募中</t>
        </is>
      </c>
      <c r="C7" s="25" t="inlineStr">
        <is>
          <t>A</t>
        </is>
      </c>
      <c r="D7" s="26">
        <f>IF(E7="","",IF(E7&lt;=7,"至急",IF(E7&lt;=21,"要着手","通常")))</f>
        <v/>
      </c>
      <c r="E7" s="27">
        <f>IF(M7="","",INT(M7)-INT($H$1))</f>
        <v/>
      </c>
      <c r="F7" s="28" t="inlineStr">
        <is>
          <t>海外展開シンポジウム 運営等業務委託</t>
        </is>
      </c>
      <c r="G7" s="29" t="inlineStr">
        <is>
          <t>総合評価方式入札</t>
        </is>
      </c>
      <c r="H7" s="28" t="inlineStr">
        <is>
          <t>公益財団法人東京都中小企業振興公社</t>
        </is>
      </c>
      <c r="I7" s="29" t="inlineStr">
        <is>
          <t>—</t>
        </is>
      </c>
      <c r="J7" s="29" t="inlineStr">
        <is>
          <t>－非公開</t>
        </is>
      </c>
      <c r="K7" s="31" t="n">
        <v>46241</v>
      </c>
      <c r="L7" s="32" t="n">
        <v>46259.58333333334</v>
      </c>
      <c r="M7" s="32" t="n">
        <v>46259.58333333334</v>
      </c>
      <c r="N7" s="33" t="inlineStr">
        <is>
          <t>希望申請（入札書の提出ではない）。申請後に指名通知を受けて入札</t>
        </is>
      </c>
      <c r="O7" s="34" t="n"/>
      <c r="P7" s="35" t="inlineStr"/>
      <c r="Q7" s="36" t="inlineStr"/>
      <c r="R7" s="24" t="inlineStr">
        <is>
          <t>単独</t>
        </is>
      </c>
      <c r="S7" s="36" t="inlineStr">
        <is>
          <t>不要</t>
        </is>
      </c>
      <c r="T7" s="33" t="inlineStr">
        <is>
          <t>ビジネスチャンス・ナビ登録（無料）。入札資格・希望申請要件の指定なし</t>
        </is>
      </c>
      <c r="U7" s="33" t="inlineStr">
        <is>
          <t>○ 海外展開支援が中核ドメイン。価格のみでなく企画内容も評価される</t>
        </is>
      </c>
      <c r="V7" s="25" t="inlineStr">
        <is>
          <t>要検討</t>
        </is>
      </c>
      <c r="W7" s="33" t="inlineStr">
        <is>
          <t>8/25 14:00までに希望申請。仕様書はナビにログインして確認</t>
        </is>
      </c>
      <c r="X7" s="24" t="inlineStr">
        <is>
          <t>新規</t>
        </is>
      </c>
      <c r="Y7" s="38" t="inlineStr">
        <is>
          <t>該当節へ</t>
        </is>
      </c>
      <c r="Z7" s="39" t="inlineStr">
        <is>
          <t>https://www.chancenavi.jp/bcn/uab0401/index</t>
        </is>
      </c>
    </row>
    <row r="8" ht="44" customHeight="1">
      <c r="A8" s="6" t="n">
        <v>5</v>
      </c>
      <c r="B8" s="7" t="inlineStr">
        <is>
          <t>公募中</t>
        </is>
      </c>
      <c r="C8" s="40" t="inlineStr">
        <is>
          <t>C</t>
        </is>
      </c>
      <c r="D8" s="9">
        <f>IF(E8="","",IF(E8&lt;=7,"至急",IF(E8&lt;=21,"要着手","通常")))</f>
        <v/>
      </c>
      <c r="E8" s="10">
        <f>IF(M8="","",INT(M8)-INT($H$1))</f>
        <v/>
      </c>
      <c r="F8" s="11" t="inlineStr">
        <is>
          <t>創業支援拠点（丸の内・多摩）生成AI映像コンテンツ制作及び鉄道・エリア連動型デジタルプロモーション業務委託</t>
        </is>
      </c>
      <c r="G8" s="12" t="inlineStr">
        <is>
          <t>委託</t>
        </is>
      </c>
      <c r="H8" s="11" t="inlineStr">
        <is>
          <t>公益財団法人東京都中小企業振興公社</t>
        </is>
      </c>
      <c r="I8" s="12" t="inlineStr">
        <is>
          <t>—</t>
        </is>
      </c>
      <c r="J8" s="12" t="inlineStr">
        <is>
          <t>－非公開</t>
        </is>
      </c>
      <c r="K8" s="15" t="n">
        <v>46252</v>
      </c>
      <c r="L8" s="16" t="n">
        <v>46260.58333333334</v>
      </c>
      <c r="M8" s="16" t="n">
        <v>46260.58333333334</v>
      </c>
      <c r="N8" s="17" t="inlineStr">
        <is>
          <t>希望申請</t>
        </is>
      </c>
      <c r="O8" s="18" t="n"/>
      <c r="P8" s="19" t="inlineStr"/>
      <c r="Q8" s="20" t="inlineStr"/>
      <c r="R8" s="6" t="inlineStr">
        <is>
          <t>単独</t>
        </is>
      </c>
      <c r="S8" s="20" t="inlineStr">
        <is>
          <t>不要</t>
        </is>
      </c>
      <c r="T8" s="17" t="inlineStr">
        <is>
          <t>ビジネスチャンス・ナビ登録（無料）</t>
        </is>
      </c>
      <c r="U8" s="17" t="inlineStr">
        <is>
          <t>△ 映像制作主体で海外要素なし</t>
        </is>
      </c>
      <c r="V8" s="40" t="inlineStr">
        <is>
          <t>記録のみ</t>
        </is>
      </c>
      <c r="W8" s="17" t="inlineStr">
        <is>
          <t>対応不要。参考掲載</t>
        </is>
      </c>
      <c r="X8" s="6" t="inlineStr">
        <is>
          <t>新規</t>
        </is>
      </c>
      <c r="Y8" s="22" t="inlineStr">
        <is>
          <t>該当節へ</t>
        </is>
      </c>
      <c r="Z8" s="23" t="inlineStr">
        <is>
          <t>https://www.tokyo-kosha.or.jp/kosha/keiyaku/index.html</t>
        </is>
      </c>
    </row>
    <row r="9" ht="44" customHeight="1">
      <c r="A9" s="24" t="n">
        <v>6</v>
      </c>
      <c r="B9" s="25" t="inlineStr">
        <is>
          <t>公募中</t>
        </is>
      </c>
      <c r="C9" s="41" t="inlineStr">
        <is>
          <t>S</t>
        </is>
      </c>
      <c r="D9" s="26">
        <f>IF(E9="","",IF(E9&lt;=7,"至急",IF(E9&lt;=21,"要着手","通常")))</f>
        <v/>
      </c>
      <c r="E9" s="27">
        <f>IF(M9="","",INT(M9)-INT($H$1))</f>
        <v/>
      </c>
      <c r="F9" s="28" t="inlineStr">
        <is>
          <t>「2027年ベオグラード国際博覧会」日本館行催事業務</t>
        </is>
      </c>
      <c r="G9" s="29" t="inlineStr">
        <is>
          <t>企画競争</t>
        </is>
      </c>
      <c r="H9" s="28" t="inlineStr">
        <is>
          <t>JETRO</t>
        </is>
      </c>
      <c r="I9" s="42" t="n">
        <v>327000000</v>
      </c>
      <c r="J9" s="43" t="inlineStr">
        <is>
          <t>◎確定</t>
        </is>
      </c>
      <c r="K9" s="31" t="n">
        <v>46226</v>
      </c>
      <c r="L9" s="32" t="n">
        <v>46255.70833333334</v>
      </c>
      <c r="M9" s="32" t="n">
        <v>46255.70833333334</v>
      </c>
      <c r="N9" s="33" t="inlineStr">
        <is>
          <t>提案書10部＋見積書の持参または郵送</t>
        </is>
      </c>
      <c r="O9" s="34" t="n"/>
      <c r="P9" s="35" t="inlineStr"/>
      <c r="Q9" s="36" t="inlineStr"/>
      <c r="R9" s="24" t="inlineStr">
        <is>
          <t>単独または共同</t>
        </is>
      </c>
      <c r="S9" s="36" t="inlineStr">
        <is>
          <t>不要</t>
        </is>
      </c>
      <c r="T9" s="33" t="inlineStr">
        <is>
          <t>セルビアの現地法規制情報を入手できる体制（未保有）</t>
        </is>
      </c>
      <c r="U9" s="33" t="inlineStr">
        <is>
          <t>○ 海外での同種実績2回以上を充足</t>
        </is>
      </c>
      <c r="V9" s="44" t="inlineStr">
        <is>
          <t>見送り</t>
        </is>
      </c>
      <c r="W9" s="33" t="inlineStr">
        <is>
          <t>物理的に間に合わない。2027年以降の国際博案件を監視対象に固定</t>
        </is>
      </c>
      <c r="X9" s="24" t="inlineStr">
        <is>
          <t>見送り</t>
        </is>
      </c>
      <c r="Y9" s="38" t="inlineStr">
        <is>
          <t>該当節へ</t>
        </is>
      </c>
      <c r="Z9" s="39" t="inlineStr">
        <is>
          <t>https://www.jetro.go.jp/procurement/publicoffer/ode/fb7b1b718a1d1371.html</t>
        </is>
      </c>
    </row>
    <row r="10" ht="44" customHeight="1">
      <c r="A10" s="6" t="n">
        <v>7</v>
      </c>
      <c r="B10" s="7" t="inlineStr">
        <is>
          <t>公募中</t>
        </is>
      </c>
      <c r="C10" s="40" t="inlineStr">
        <is>
          <t>C</t>
        </is>
      </c>
      <c r="D10" s="9">
        <f>IF(E10="","",IF(E10&lt;=7,"至急",IF(E10&lt;=21,"要着手","通常")))</f>
        <v/>
      </c>
      <c r="E10" s="10">
        <f>IF(M10="","",INT(M10)-INT($H$1))</f>
        <v/>
      </c>
      <c r="F10" s="11" t="inlineStr">
        <is>
          <t>JOI 25周年記念事業広報用動画制作業務委託契約</t>
        </is>
      </c>
      <c r="G10" s="12" t="inlineStr">
        <is>
          <t>企画競争</t>
        </is>
      </c>
      <c r="H10" s="11" t="inlineStr">
        <is>
          <t>独立行政法人国際交流基金</t>
        </is>
      </c>
      <c r="I10" s="12" t="inlineStr">
        <is>
          <t>—</t>
        </is>
      </c>
      <c r="J10" s="12" t="inlineStr">
        <is>
          <t>－非公開</t>
        </is>
      </c>
      <c r="K10" s="15" t="n">
        <v>46234</v>
      </c>
      <c r="L10" s="16" t="n">
        <v>46254.5</v>
      </c>
      <c r="M10" s="16" t="n">
        <v>46254.5</v>
      </c>
      <c r="N10" s="17" t="inlineStr">
        <is>
          <t>提案書提出</t>
        </is>
      </c>
      <c r="O10" s="18" t="n"/>
      <c r="P10" s="19" t="inlineStr"/>
      <c r="Q10" s="20" t="inlineStr"/>
      <c r="R10" s="6" t="inlineStr">
        <is>
          <t>単独</t>
        </is>
      </c>
      <c r="S10" s="45" t="inlineStr">
        <is>
          <t>要（間に合わない）</t>
        </is>
      </c>
      <c r="T10" s="17" t="inlineStr">
        <is>
          <t>全省庁統一資格（役務の提供等）A〜D等級</t>
        </is>
      </c>
      <c r="U10" s="17" t="inlineStr">
        <is>
          <t>○ ただし動画制作単体は主戦場外</t>
        </is>
      </c>
      <c r="V10" s="40" t="inlineStr">
        <is>
          <t>見送り</t>
        </is>
      </c>
      <c r="W10" s="17" t="inlineStr">
        <is>
          <t>記録のみ。翌年度の同種案件を監視</t>
        </is>
      </c>
      <c r="X10" s="6" t="inlineStr">
        <is>
          <t>見送り</t>
        </is>
      </c>
      <c r="Y10" s="22" t="inlineStr">
        <is>
          <t>該当節へ</t>
        </is>
      </c>
      <c r="Z10" s="23" t="inlineStr">
        <is>
          <t>https://www.jpf.go.jp/j/about/bid/proposal/p_260731_1.html</t>
        </is>
      </c>
    </row>
    <row r="11" ht="44" customHeight="1">
      <c r="A11" s="24" t="n">
        <v>8</v>
      </c>
      <c r="B11" s="46" t="inlineStr">
        <is>
          <t>予測</t>
        </is>
      </c>
      <c r="C11" s="41" t="inlineStr">
        <is>
          <t>S</t>
        </is>
      </c>
      <c r="D11" s="26">
        <f>IF(E11="","",IF(E11&lt;=7,"至急",IF(E11&lt;=21,"要着手","通常")))</f>
        <v/>
      </c>
      <c r="E11" s="27">
        <f>IF(M11="","",INT(M11)-INT($H$1))</f>
        <v/>
      </c>
      <c r="F11" s="28" t="inlineStr">
        <is>
          <t>「東京手仕事」MAISON &amp; OBJET 出展及びポップアップストア運営業務</t>
        </is>
      </c>
      <c r="G11" s="29" t="inlineStr">
        <is>
          <t>委託</t>
        </is>
      </c>
      <c r="H11" s="28" t="inlineStr">
        <is>
          <t>公益財団法人東京都中小企業振興公社</t>
        </is>
      </c>
      <c r="I11" s="42" t="n">
        <v>40986000</v>
      </c>
      <c r="J11" s="30" t="inlineStr">
        <is>
          <t>△推定（前回落札額）</t>
        </is>
      </c>
      <c r="K11" s="31" t="n"/>
      <c r="L11" s="32" t="n"/>
      <c r="M11" s="32" t="n"/>
      <c r="N11" s="33" t="inlineStr"/>
      <c r="O11" s="34" t="n"/>
      <c r="P11" s="35" t="inlineStr">
        <is>
          <t>2027年2月〜3月</t>
        </is>
      </c>
      <c r="Q11" s="36" t="inlineStr">
        <is>
          <t>令和7年度分の入札書が2025-03-18。令和8年度も「海外展示会の運営業務（Maison &amp; Objet）」として契約。3年連続で発注</t>
        </is>
      </c>
      <c r="R11" s="24" t="inlineStr">
        <is>
          <t>単独</t>
        </is>
      </c>
      <c r="S11" s="36" t="inlineStr">
        <is>
          <t>不要</t>
        </is>
      </c>
      <c r="T11" s="33" t="inlineStr">
        <is>
          <t>ビジネスチャンス・ナビ登録</t>
        </is>
      </c>
      <c r="U11" s="33" t="inlineStr">
        <is>
          <t>○ 令和7年度に御社が受注した案件そのもの</t>
        </is>
      </c>
      <c r="V11" s="47" t="inlineStr">
        <is>
          <t>応募推奨</t>
        </is>
      </c>
      <c r="W11" s="33" t="inlineStr">
        <is>
          <t>2027年1月から公社の契約情報を毎週確認。前回提案書を土台に準備</t>
        </is>
      </c>
      <c r="X11" s="24" t="inlineStr">
        <is>
          <t>新規</t>
        </is>
      </c>
      <c r="Y11" s="38" t="inlineStr">
        <is>
          <t>該当節へ</t>
        </is>
      </c>
      <c r="Z11" s="39" t="inlineStr">
        <is>
          <t>https://www.tokyo-kosha.or.jp/kosha/keiyaku/index.html</t>
        </is>
      </c>
    </row>
    <row r="12" ht="44" customHeight="1">
      <c r="A12" s="6" t="n">
        <v>9</v>
      </c>
      <c r="B12" s="48" t="inlineStr">
        <is>
          <t>予測</t>
        </is>
      </c>
      <c r="C12" s="8" t="inlineStr">
        <is>
          <t>S</t>
        </is>
      </c>
      <c r="D12" s="9">
        <f>IF(E12="","",IF(E12&lt;=7,"至急",IF(E12&lt;=21,"要着手","通常")))</f>
        <v/>
      </c>
      <c r="E12" s="10">
        <f>IF(M12="","",INT(M12)-INT($H$1))</f>
        <v/>
      </c>
      <c r="F12" s="11" t="inlineStr">
        <is>
          <t>海外における伝統的工芸品テストマーケティング業務</t>
        </is>
      </c>
      <c r="G12" s="12" t="inlineStr">
        <is>
          <t>企画提案募集</t>
        </is>
      </c>
      <c r="H12" s="11" t="inlineStr">
        <is>
          <t>伝統的工芸品産業振興協会</t>
        </is>
      </c>
      <c r="I12" s="12" t="inlineStr">
        <is>
          <t>—</t>
        </is>
      </c>
      <c r="J12" s="12" t="inlineStr">
        <is>
          <t>－非公開</t>
        </is>
      </c>
      <c r="K12" s="15" t="n"/>
      <c r="L12" s="16" t="n"/>
      <c r="M12" s="16" t="n"/>
      <c r="N12" s="17" t="inlineStr"/>
      <c r="O12" s="18" t="n"/>
      <c r="P12" s="19" t="inlineStr">
        <is>
          <t>2027年3月中旬〜7月上旬</t>
        </is>
      </c>
      <c r="Q12" s="20" t="inlineStr">
        <is>
          <t>4年連続。ただし公告時期が動く（2024-06-26公告/07-12締切、2025-06-23公告/08-11締切、2026-04-01公告/05-15締切）</t>
        </is>
      </c>
      <c r="R12" s="6" t="inlineStr">
        <is>
          <t>単独</t>
        </is>
      </c>
      <c r="S12" s="20" t="inlineStr">
        <is>
          <t>不要</t>
        </is>
      </c>
      <c r="T12" s="17" t="inlineStr"/>
      <c r="U12" s="17" t="inlineStr">
        <is>
          <t>○ 16都市91回・うち49回が伝統工芸品</t>
        </is>
      </c>
      <c r="V12" s="21" t="inlineStr">
        <is>
          <t>応募推奨</t>
        </is>
      </c>
      <c r="W12" s="17" t="inlineStr">
        <is>
          <t>2027年3月中旬から毎週確認。7月上旬まで監視を緩めない</t>
        </is>
      </c>
      <c r="X12" s="6" t="inlineStr">
        <is>
          <t>新規</t>
        </is>
      </c>
      <c r="Y12" s="22" t="inlineStr">
        <is>
          <t>該当節へ</t>
        </is>
      </c>
      <c r="Z12" s="23" t="inlineStr">
        <is>
          <t>https://kyokai.kougeihin.jp/association_cat/公募公告/</t>
        </is>
      </c>
    </row>
    <row r="13" ht="44" customHeight="1">
      <c r="A13" s="24" t="n">
        <v>10</v>
      </c>
      <c r="B13" s="46" t="inlineStr">
        <is>
          <t>予測</t>
        </is>
      </c>
      <c r="C13" s="41" t="inlineStr">
        <is>
          <t>S</t>
        </is>
      </c>
      <c r="D13" s="26">
        <f>IF(E13="","",IF(E13&lt;=7,"至急",IF(E13&lt;=21,"要着手","通常")))</f>
        <v/>
      </c>
      <c r="E13" s="27">
        <f>IF(M13="","",INT(M13)-INT($H$1))</f>
        <v/>
      </c>
      <c r="F13" s="28" t="inlineStr">
        <is>
          <t>海外における伝統的工芸品実演・ワークショップ業務</t>
        </is>
      </c>
      <c r="G13" s="29" t="inlineStr">
        <is>
          <t>企画提案募集</t>
        </is>
      </c>
      <c r="H13" s="28" t="inlineStr">
        <is>
          <t>伝統的工芸品産業振興協会</t>
        </is>
      </c>
      <c r="I13" s="29" t="inlineStr">
        <is>
          <t>—</t>
        </is>
      </c>
      <c r="J13" s="29" t="inlineStr">
        <is>
          <t>－非公開</t>
        </is>
      </c>
      <c r="K13" s="31" t="n"/>
      <c r="L13" s="32" t="n"/>
      <c r="M13" s="32" t="n"/>
      <c r="N13" s="33" t="inlineStr"/>
      <c r="O13" s="34" t="n"/>
      <c r="P13" s="35" t="inlineStr">
        <is>
          <t>2027年4月頃</t>
        </is>
      </c>
      <c r="Q13" s="36" t="inlineStr">
        <is>
          <t>2026年度に新設（2026-04-01公告/05-15締切）。テストマーケティングと同時公告</t>
        </is>
      </c>
      <c r="R13" s="24" t="inlineStr">
        <is>
          <t>単独</t>
        </is>
      </c>
      <c r="S13" s="36" t="inlineStr">
        <is>
          <t>不要</t>
        </is>
      </c>
      <c r="T13" s="33" t="inlineStr"/>
      <c r="U13" s="33" t="inlineStr">
        <is>
          <t>○ 実演・ワークショップの現地運営実績あり</t>
        </is>
      </c>
      <c r="V13" s="47" t="inlineStr">
        <is>
          <t>応募推奨</t>
        </is>
      </c>
      <c r="W13" s="33" t="inlineStr">
        <is>
          <t>テストマーケティングと同時に公告される想定で並行準備</t>
        </is>
      </c>
      <c r="X13" s="24" t="inlineStr">
        <is>
          <t>新規</t>
        </is>
      </c>
      <c r="Y13" s="38" t="inlineStr">
        <is>
          <t>該当節へ</t>
        </is>
      </c>
      <c r="Z13" s="39" t="inlineStr">
        <is>
          <t>https://kyokai.kougeihin.jp/association_cat/公募公告/</t>
        </is>
      </c>
    </row>
    <row r="14" ht="44" customHeight="1">
      <c r="A14" s="6" t="n">
        <v>11</v>
      </c>
      <c r="B14" s="48" t="inlineStr">
        <is>
          <t>予測</t>
        </is>
      </c>
      <c r="C14" s="7" t="inlineStr">
        <is>
          <t>A</t>
        </is>
      </c>
      <c r="D14" s="9">
        <f>IF(E14="","",IF(E14&lt;=7,"至急",IF(E14&lt;=21,"要着手","通常")))</f>
        <v/>
      </c>
      <c r="E14" s="10">
        <f>IF(M14="","",INT(M14)-INT($H$1))</f>
        <v/>
      </c>
      <c r="F14" s="11" t="inlineStr">
        <is>
          <t>第71回東京都伝統工芸品展に係る運営管理業務の委託</t>
        </is>
      </c>
      <c r="G14" s="12" t="inlineStr">
        <is>
          <t>希望制指名競争入札</t>
        </is>
      </c>
      <c r="H14" s="11" t="inlineStr">
        <is>
          <t>公益財団法人東京都中小企業振興公社</t>
        </is>
      </c>
      <c r="I14" s="12" t="inlineStr">
        <is>
          <t>—</t>
        </is>
      </c>
      <c r="J14" s="12" t="inlineStr">
        <is>
          <t>－非公開</t>
        </is>
      </c>
      <c r="K14" s="15" t="n"/>
      <c r="L14" s="16" t="n"/>
      <c r="M14" s="16" t="n"/>
      <c r="N14" s="17" t="inlineStr"/>
      <c r="O14" s="18" t="n"/>
      <c r="P14" s="19" t="inlineStr">
        <is>
          <t>2027年8月中旬</t>
        </is>
      </c>
      <c r="Q14" s="20" t="inlineStr">
        <is>
          <t>毎年開催。第68回(令和6年度)・令和7年度・第70回(令和8年度8月18日公告)と3年連続</t>
        </is>
      </c>
      <c r="R14" s="6" t="inlineStr">
        <is>
          <t>単独</t>
        </is>
      </c>
      <c r="S14" s="20" t="inlineStr">
        <is>
          <t>不要</t>
        </is>
      </c>
      <c r="T14" s="17" t="inlineStr">
        <is>
          <t>ビジネスチャンス・ナビ登録</t>
        </is>
      </c>
      <c r="U14" s="17" t="inlineStr">
        <is>
          <t>○ 伝統工芸品の展示運営実績</t>
        </is>
      </c>
      <c r="V14" s="7" t="inlineStr">
        <is>
          <t>要検討</t>
        </is>
      </c>
      <c r="W14" s="17" t="inlineStr">
        <is>
          <t>今回(第70回)の結果を踏まえて判断</t>
        </is>
      </c>
      <c r="X14" s="6" t="inlineStr">
        <is>
          <t>新規</t>
        </is>
      </c>
      <c r="Y14" s="22" t="inlineStr">
        <is>
          <t>該当節へ</t>
        </is>
      </c>
      <c r="Z14" s="23" t="inlineStr">
        <is>
          <t>https://www.tokyo-kosha.or.jp/kosha/keiyaku/index.html</t>
        </is>
      </c>
    </row>
    <row r="15" ht="44" customHeight="1">
      <c r="A15" s="24" t="n">
        <v>12</v>
      </c>
      <c r="B15" s="46" t="inlineStr">
        <is>
          <t>予測</t>
        </is>
      </c>
      <c r="C15" s="25" t="inlineStr">
        <is>
          <t>A</t>
        </is>
      </c>
      <c r="D15" s="26">
        <f>IF(E15="","",IF(E15&lt;=7,"至急",IF(E15&lt;=21,"要着手","通常")))</f>
        <v/>
      </c>
      <c r="E15" s="27">
        <f>IF(M15="","",INT(M15)-INT($H$1))</f>
        <v/>
      </c>
      <c r="F15" s="28" t="inlineStr">
        <is>
          <t>TOKYO職人展に係る運営管理業務の委託</t>
        </is>
      </c>
      <c r="G15" s="29" t="inlineStr">
        <is>
          <t>委託</t>
        </is>
      </c>
      <c r="H15" s="28" t="inlineStr">
        <is>
          <t>公益財団法人東京都中小企業振興公社</t>
        </is>
      </c>
      <c r="I15" s="29" t="inlineStr">
        <is>
          <t>—</t>
        </is>
      </c>
      <c r="J15" s="29" t="inlineStr">
        <is>
          <t>－非公開</t>
        </is>
      </c>
      <c r="K15" s="31" t="n"/>
      <c r="L15" s="32" t="n"/>
      <c r="M15" s="32" t="n"/>
      <c r="N15" s="33" t="inlineStr"/>
      <c r="O15" s="34" t="n"/>
      <c r="P15" s="35" t="inlineStr">
        <is>
          <t>2027年5月中旬</t>
        </is>
      </c>
      <c r="Q15" s="36" t="inlineStr">
        <is>
          <t>令和6年度・令和7年度・令和8年度(2026-05-19公告)と3年連続</t>
        </is>
      </c>
      <c r="R15" s="24" t="inlineStr">
        <is>
          <t>単独</t>
        </is>
      </c>
      <c r="S15" s="36" t="inlineStr">
        <is>
          <t>不要</t>
        </is>
      </c>
      <c r="T15" s="33" t="inlineStr">
        <is>
          <t>ビジネスチャンス・ナビ登録</t>
        </is>
      </c>
      <c r="U15" s="33" t="inlineStr">
        <is>
          <t>○ 伝統工芸品の展示運営実績</t>
        </is>
      </c>
      <c r="V15" s="25" t="inlineStr">
        <is>
          <t>要検討</t>
        </is>
      </c>
      <c r="W15" s="33" t="inlineStr">
        <is>
          <t>2027年4月から公社の契約情報を確認</t>
        </is>
      </c>
      <c r="X15" s="24" t="inlineStr">
        <is>
          <t>新規</t>
        </is>
      </c>
      <c r="Y15" s="38" t="inlineStr">
        <is>
          <t>該当節へ</t>
        </is>
      </c>
      <c r="Z15" s="39" t="inlineStr">
        <is>
          <t>https://www.tokyo-kosha.or.jp/kosha/keiyaku/index.html</t>
        </is>
      </c>
    </row>
    <row r="16" ht="44" customHeight="1">
      <c r="A16" s="6" t="n">
        <v>13</v>
      </c>
      <c r="B16" s="48" t="inlineStr">
        <is>
          <t>予測</t>
        </is>
      </c>
      <c r="C16" s="7" t="inlineStr">
        <is>
          <t>A</t>
        </is>
      </c>
      <c r="D16" s="9">
        <f>IF(E16="","",IF(E16&lt;=7,"至急",IF(E16&lt;=21,"要着手","通常")))</f>
        <v/>
      </c>
      <c r="E16" s="10">
        <f>IF(M16="","",INT(M16)-INT($H$1))</f>
        <v/>
      </c>
      <c r="F16" s="11" t="inlineStr">
        <is>
          <t>海外テストマーケティング・商談会 企画運営等委託</t>
        </is>
      </c>
      <c r="G16" s="12" t="inlineStr">
        <is>
          <t>委託</t>
        </is>
      </c>
      <c r="H16" s="11" t="inlineStr">
        <is>
          <t>公益財団法人東京都中小企業振興公社</t>
        </is>
      </c>
      <c r="I16" s="12" t="inlineStr">
        <is>
          <t>—</t>
        </is>
      </c>
      <c r="J16" s="12" t="inlineStr">
        <is>
          <t>－非公開</t>
        </is>
      </c>
      <c r="K16" s="15" t="n"/>
      <c r="L16" s="16" t="n"/>
      <c r="M16" s="16" t="n"/>
      <c r="N16" s="17" t="inlineStr"/>
      <c r="O16" s="18" t="n"/>
      <c r="P16" s="19" t="inlineStr">
        <is>
          <t>2027年前半</t>
        </is>
      </c>
      <c r="Q16" s="20" t="inlineStr">
        <is>
          <t>令和5・6・7年度と3年連続で発注</t>
        </is>
      </c>
      <c r="R16" s="6" t="inlineStr">
        <is>
          <t>単独</t>
        </is>
      </c>
      <c r="S16" s="20" t="inlineStr">
        <is>
          <t>不要</t>
        </is>
      </c>
      <c r="T16" s="17" t="inlineStr">
        <is>
          <t>ビジネスチャンス・ナビ登録</t>
        </is>
      </c>
      <c r="U16" s="17" t="inlineStr">
        <is>
          <t>○ 海外商談会の企画運営実績</t>
        </is>
      </c>
      <c r="V16" s="7" t="inlineStr">
        <is>
          <t>要検討</t>
        </is>
      </c>
      <c r="W16" s="17" t="inlineStr">
        <is>
          <t>公社の契約情報を毎週確認</t>
        </is>
      </c>
      <c r="X16" s="6" t="inlineStr">
        <is>
          <t>新規</t>
        </is>
      </c>
      <c r="Y16" s="22" t="inlineStr">
        <is>
          <t>該当節へ</t>
        </is>
      </c>
      <c r="Z16" s="23" t="inlineStr">
        <is>
          <t>https://www.tokyo-kosha.or.jp/kosha/keiyaku/index.html</t>
        </is>
      </c>
    </row>
    <row r="17" ht="44" customHeight="1">
      <c r="A17" s="24" t="n">
        <v>14</v>
      </c>
      <c r="B17" s="46" t="inlineStr">
        <is>
          <t>予測</t>
        </is>
      </c>
      <c r="C17" s="25" t="inlineStr">
        <is>
          <t>A</t>
        </is>
      </c>
      <c r="D17" s="26">
        <f>IF(E17="","",IF(E17&lt;=7,"至急",IF(E17&lt;=21,"要着手","通常")))</f>
        <v/>
      </c>
      <c r="E17" s="27">
        <f>IF(M17="","",INT(M17)-INT($H$1))</f>
        <v/>
      </c>
      <c r="F17" s="28" t="inlineStr">
        <is>
          <t>小規模事業者持続化補助金＜共同・協業型＞第4回</t>
        </is>
      </c>
      <c r="G17" s="29" t="inlineStr">
        <is>
          <t>補助金</t>
        </is>
      </c>
      <c r="H17" s="28" t="inlineStr">
        <is>
          <t>中小企業庁</t>
        </is>
      </c>
      <c r="I17" s="42" t="n">
        <v>30000000</v>
      </c>
      <c r="J17" s="30" t="inlineStr">
        <is>
          <t>△推定（第3回と同額と仮定）</t>
        </is>
      </c>
      <c r="K17" s="31" t="n"/>
      <c r="L17" s="32" t="n"/>
      <c r="M17" s="32" t="n"/>
      <c r="N17" s="33" t="inlineStr"/>
      <c r="O17" s="34" t="n"/>
      <c r="P17" s="35" t="inlineStr">
        <is>
          <t>2027年1月〜3月</t>
        </is>
      </c>
      <c r="Q17" s="36" t="inlineStr">
        <is>
          <t>第1回2025-04-25公告、第2回2025-12-23公告(受付1/16)、第3回2026-07-08公告(受付8/14)。概ね半年周期</t>
        </is>
      </c>
      <c r="R17" s="24" t="inlineStr">
        <is>
          <t>支援側</t>
        </is>
      </c>
      <c r="S17" s="36" t="inlineStr">
        <is>
          <t>不要</t>
        </is>
      </c>
      <c r="T17" s="33" t="inlineStr">
        <is>
          <t>GビズIDプライム</t>
        </is>
      </c>
      <c r="U17" s="33" t="inlineStr">
        <is>
          <t>○</t>
        </is>
      </c>
      <c r="V17" s="25" t="inlineStr">
        <is>
          <t>要検討</t>
        </is>
      </c>
      <c r="W17" s="33" t="inlineStr">
        <is>
          <t>第3回の結果を見て再挑戦するか判断</t>
        </is>
      </c>
      <c r="X17" s="24" t="inlineStr">
        <is>
          <t>新規</t>
        </is>
      </c>
      <c r="Y17" s="38" t="inlineStr">
        <is>
          <t>該当節へ</t>
        </is>
      </c>
      <c r="Z17" s="39" t="inlineStr">
        <is>
          <t>https://www.chusho.meti.go.jp/koukai/hojyokin/kobo.html</t>
        </is>
      </c>
    </row>
    <row r="18" ht="44" customHeight="1">
      <c r="A18" s="6" t="n">
        <v>15</v>
      </c>
      <c r="B18" s="48" t="inlineStr">
        <is>
          <t>予測</t>
        </is>
      </c>
      <c r="C18" s="9" t="inlineStr">
        <is>
          <t>B</t>
        </is>
      </c>
      <c r="D18" s="9">
        <f>IF(E18="","",IF(E18&lt;=7,"至急",IF(E18&lt;=21,"要着手","通常")))</f>
        <v/>
      </c>
      <c r="E18" s="10">
        <f>IF(M18="","",INT(M18)-INT($H$1))</f>
        <v/>
      </c>
      <c r="F18" s="11" t="inlineStr">
        <is>
          <t>FHA 2027 Food &amp; Beverage ジャパンパビリオンの設計・監理等</t>
        </is>
      </c>
      <c r="G18" s="12" t="inlineStr">
        <is>
          <t>入札</t>
        </is>
      </c>
      <c r="H18" s="11" t="inlineStr">
        <is>
          <t>JETRO</t>
        </is>
      </c>
      <c r="I18" s="12" t="inlineStr">
        <is>
          <t>—</t>
        </is>
      </c>
      <c r="J18" s="12" t="inlineStr">
        <is>
          <t>－非公開</t>
        </is>
      </c>
      <c r="K18" s="15" t="n"/>
      <c r="L18" s="16" t="n"/>
      <c r="M18" s="16" t="n"/>
      <c r="N18" s="17" t="inlineStr"/>
      <c r="O18" s="18" t="n"/>
      <c r="P18" s="19" t="inlineStr">
        <is>
          <t>2026年8月下旬</t>
        </is>
      </c>
      <c r="Q18" s="20" t="inlineStr">
        <is>
          <t>前年同案件が2025-08-21公告。**今まさに公告時期**</t>
        </is>
      </c>
      <c r="R18" s="6" t="inlineStr">
        <is>
          <t>単独または共同</t>
        </is>
      </c>
      <c r="S18" s="49" t="inlineStr">
        <is>
          <t>要（等級確認で代替可の可能性）</t>
        </is>
      </c>
      <c r="T18" s="17" t="inlineStr"/>
      <c r="U18" s="17" t="inlineStr">
        <is>
          <t>△ ブース設計施工の実績はあるが食品系展示会は未経験</t>
        </is>
      </c>
      <c r="V18" s="7" t="inlineStr">
        <is>
          <t>要検討</t>
        </is>
      </c>
      <c r="W18" s="17" t="inlineStr">
        <is>
          <t>JETRO入札情報を毎週確認</t>
        </is>
      </c>
      <c r="X18" s="6" t="inlineStr">
        <is>
          <t>新規</t>
        </is>
      </c>
      <c r="Y18" s="22" t="inlineStr">
        <is>
          <t>該当節へ</t>
        </is>
      </c>
      <c r="Z18" s="23" t="inlineStr">
        <is>
          <t>https://www.jetro.go.jp/procurement/bidtop/bid/service06/</t>
        </is>
      </c>
    </row>
    <row r="19" ht="44" customHeight="1">
      <c r="A19" s="24" t="n">
        <v>16</v>
      </c>
      <c r="B19" s="46" t="inlineStr">
        <is>
          <t>予測</t>
        </is>
      </c>
      <c r="C19" s="26" t="inlineStr">
        <is>
          <t>B</t>
        </is>
      </c>
      <c r="D19" s="26">
        <f>IF(E19="","",IF(E19&lt;=7,"至急",IF(E19&lt;=21,"要着手","通常")))</f>
        <v/>
      </c>
      <c r="E19" s="27">
        <f>IF(M19="","",INT(M19)-INT($H$1))</f>
        <v/>
      </c>
      <c r="F19" s="28" t="inlineStr">
        <is>
          <t>Seafood Expo Global 2027 ジャパンパビリオンの設計・監理等</t>
        </is>
      </c>
      <c r="G19" s="29" t="inlineStr">
        <is>
          <t>入札</t>
        </is>
      </c>
      <c r="H19" s="28" t="inlineStr">
        <is>
          <t>JETRO</t>
        </is>
      </c>
      <c r="I19" s="29" t="inlineStr">
        <is>
          <t>—</t>
        </is>
      </c>
      <c r="J19" s="29" t="inlineStr">
        <is>
          <t>－非公開</t>
        </is>
      </c>
      <c r="K19" s="31" t="n"/>
      <c r="L19" s="32" t="n"/>
      <c r="M19" s="32" t="n"/>
      <c r="N19" s="33" t="inlineStr"/>
      <c r="O19" s="34" t="n"/>
      <c r="P19" s="35" t="inlineStr">
        <is>
          <t>2026年9月上旬</t>
        </is>
      </c>
      <c r="Q19" s="36" t="inlineStr">
        <is>
          <t>前年同案件が2025-09-08公告</t>
        </is>
      </c>
      <c r="R19" s="24" t="inlineStr">
        <is>
          <t>単独または共同</t>
        </is>
      </c>
      <c r="S19" s="37" t="inlineStr">
        <is>
          <t>要（等級確認で代替可の可能性）</t>
        </is>
      </c>
      <c r="T19" s="33" t="inlineStr"/>
      <c r="U19" s="33" t="inlineStr">
        <is>
          <t>△ 食品系展示会は未経験</t>
        </is>
      </c>
      <c r="V19" s="25" t="inlineStr">
        <is>
          <t>要検討</t>
        </is>
      </c>
      <c r="W19" s="33" t="inlineStr">
        <is>
          <t>JETRO入札情報を毎週確認</t>
        </is>
      </c>
      <c r="X19" s="24" t="inlineStr">
        <is>
          <t>新規</t>
        </is>
      </c>
      <c r="Y19" s="38" t="inlineStr">
        <is>
          <t>該当節へ</t>
        </is>
      </c>
      <c r="Z19" s="39" t="inlineStr">
        <is>
          <t>https://www.jetro.go.jp/procurement/bidtop/bid/service06/</t>
        </is>
      </c>
    </row>
    <row r="20" ht="44" customHeight="1">
      <c r="A20" s="6" t="n">
        <v>17</v>
      </c>
      <c r="B20" s="48" t="inlineStr">
        <is>
          <t>予測</t>
        </is>
      </c>
      <c r="C20" s="9" t="inlineStr">
        <is>
          <t>B</t>
        </is>
      </c>
      <c r="D20" s="9">
        <f>IF(E20="","",IF(E20&lt;=7,"至急",IF(E20&lt;=21,"要着手","通常")))</f>
        <v/>
      </c>
      <c r="E20" s="10">
        <f>IF(M20="","",INT(M20)-INT($H$1))</f>
        <v/>
      </c>
      <c r="F20" s="11" t="inlineStr">
        <is>
          <t>THAIFEX 2027 ジャパンパビリオンの設計・監理等</t>
        </is>
      </c>
      <c r="G20" s="12" t="inlineStr">
        <is>
          <t>入札</t>
        </is>
      </c>
      <c r="H20" s="11" t="inlineStr">
        <is>
          <t>JETRO</t>
        </is>
      </c>
      <c r="I20" s="12" t="inlineStr">
        <is>
          <t>—</t>
        </is>
      </c>
      <c r="J20" s="12" t="inlineStr">
        <is>
          <t>－非公開</t>
        </is>
      </c>
      <c r="K20" s="15" t="n"/>
      <c r="L20" s="16" t="n"/>
      <c r="M20" s="16" t="n"/>
      <c r="N20" s="17" t="inlineStr"/>
      <c r="O20" s="18" t="n"/>
      <c r="P20" s="19" t="inlineStr">
        <is>
          <t>2026年11月中旬</t>
        </is>
      </c>
      <c r="Q20" s="20" t="inlineStr">
        <is>
          <t>前年同案件が2025-11-19公告</t>
        </is>
      </c>
      <c r="R20" s="6" t="inlineStr">
        <is>
          <t>単独または共同</t>
        </is>
      </c>
      <c r="S20" s="49" t="inlineStr">
        <is>
          <t>要（等級確認で代替可の可能性）</t>
        </is>
      </c>
      <c r="T20" s="17" t="inlineStr"/>
      <c r="U20" s="17" t="inlineStr">
        <is>
          <t>△ 食品系展示会は未経験</t>
        </is>
      </c>
      <c r="V20" s="7" t="inlineStr">
        <is>
          <t>要検討</t>
        </is>
      </c>
      <c r="W20" s="17" t="inlineStr">
        <is>
          <t>JETRO入札情報を毎週確認</t>
        </is>
      </c>
      <c r="X20" s="6" t="inlineStr">
        <is>
          <t>新規</t>
        </is>
      </c>
      <c r="Y20" s="22" t="inlineStr">
        <is>
          <t>該当節へ</t>
        </is>
      </c>
      <c r="Z20" s="23" t="inlineStr">
        <is>
          <t>https://www.jetro.go.jp/procurement/bidtop/bid/service06/</t>
        </is>
      </c>
    </row>
    <row r="21" ht="44" customHeight="1">
      <c r="A21" s="24" t="n">
        <v>18</v>
      </c>
      <c r="B21" s="46" t="inlineStr">
        <is>
          <t>予測</t>
        </is>
      </c>
      <c r="C21" s="26" t="inlineStr">
        <is>
          <t>B</t>
        </is>
      </c>
      <c r="D21" s="26">
        <f>IF(E21="","",IF(E21&lt;=7,"至急",IF(E21&lt;=21,"要着手","通常")))</f>
        <v/>
      </c>
      <c r="E21" s="27">
        <f>IF(M21="","",INT(M21)-INT($H$1))</f>
        <v/>
      </c>
      <c r="F21" s="28" t="inlineStr">
        <is>
          <t>東京インターナショナル・ギフト・ショー春2027 公社パビリオン 展示会運営業務委託</t>
        </is>
      </c>
      <c r="G21" s="29" t="inlineStr">
        <is>
          <t>委託</t>
        </is>
      </c>
      <c r="H21" s="28" t="inlineStr">
        <is>
          <t>公益財団法人東京都中小企業振興公社</t>
        </is>
      </c>
      <c r="I21" s="29" t="inlineStr">
        <is>
          <t>—</t>
        </is>
      </c>
      <c r="J21" s="29" t="inlineStr">
        <is>
          <t>－非公開</t>
        </is>
      </c>
      <c r="K21" s="31" t="n"/>
      <c r="L21" s="32" t="n"/>
      <c r="M21" s="32" t="n"/>
      <c r="N21" s="33" t="inlineStr"/>
      <c r="O21" s="34" t="n"/>
      <c r="P21" s="35" t="inlineStr">
        <is>
          <t>2026年10月〜12月</t>
        </is>
      </c>
      <c r="Q21" s="36" t="inlineStr">
        <is>
          <t>春2025・春2026と2年連続で発注</t>
        </is>
      </c>
      <c r="R21" s="24" t="inlineStr">
        <is>
          <t>単独</t>
        </is>
      </c>
      <c r="S21" s="36" t="inlineStr">
        <is>
          <t>不要</t>
        </is>
      </c>
      <c r="T21" s="33" t="inlineStr">
        <is>
          <t>ビジネスチャンス・ナビ登録</t>
        </is>
      </c>
      <c r="U21" s="33" t="inlineStr">
        <is>
          <t>○ 展示会運営の実績</t>
        </is>
      </c>
      <c r="V21" s="25" t="inlineStr">
        <is>
          <t>要検討</t>
        </is>
      </c>
      <c r="W21" s="33" t="inlineStr">
        <is>
          <t>公社の契約情報を毎週確認</t>
        </is>
      </c>
      <c r="X21" s="24" t="inlineStr">
        <is>
          <t>新規</t>
        </is>
      </c>
      <c r="Y21" s="38" t="inlineStr">
        <is>
          <t>該当節へ</t>
        </is>
      </c>
      <c r="Z21" s="39" t="inlineStr">
        <is>
          <t>https://www.tokyo-kosha.or.jp/kosha/keiyaku/index.html</t>
        </is>
      </c>
    </row>
    <row r="22" ht="44" customHeight="1">
      <c r="A22" s="6" t="n">
        <v>19</v>
      </c>
      <c r="B22" s="48" t="inlineStr">
        <is>
          <t>予測</t>
        </is>
      </c>
      <c r="C22" s="40" t="inlineStr">
        <is>
          <t>C</t>
        </is>
      </c>
      <c r="D22" s="9">
        <f>IF(E22="","",IF(E22&lt;=7,"至急",IF(E22&lt;=21,"要着手","通常")))</f>
        <v/>
      </c>
      <c r="E22" s="10">
        <f>IF(M22="","",INT(M22)-INT($H$1))</f>
        <v/>
      </c>
      <c r="F22" s="11" t="inlineStr">
        <is>
          <t>伝統的工芸品産業振興協会 英語・翻訳業務</t>
        </is>
      </c>
      <c r="G22" s="12" t="inlineStr">
        <is>
          <t>企画競争</t>
        </is>
      </c>
      <c r="H22" s="11" t="inlineStr">
        <is>
          <t>伝統的工芸品産業振興協会</t>
        </is>
      </c>
      <c r="I22" s="12" t="inlineStr">
        <is>
          <t>—</t>
        </is>
      </c>
      <c r="J22" s="12" t="inlineStr">
        <is>
          <t>－非公開</t>
        </is>
      </c>
      <c r="K22" s="15" t="n"/>
      <c r="L22" s="16" t="n"/>
      <c r="M22" s="16" t="n"/>
      <c r="N22" s="17" t="inlineStr"/>
      <c r="O22" s="18" t="n"/>
      <c r="P22" s="19" t="inlineStr">
        <is>
          <t>2027年3月下旬〜7月上旬</t>
        </is>
      </c>
      <c r="Q22" s="20" t="inlineStr">
        <is>
          <t>5年連続（2022-07-04、2023-06-09、2024-03-25、2025-06-17、2026-06-15 各締切）</t>
        </is>
      </c>
      <c r="R22" s="6" t="inlineStr">
        <is>
          <t>単独</t>
        </is>
      </c>
      <c r="S22" s="20" t="inlineStr">
        <is>
          <t>不要</t>
        </is>
      </c>
      <c r="T22" s="17" t="inlineStr"/>
      <c r="U22" s="17" t="inlineStr">
        <is>
          <t>○ 多言語対応体制あり</t>
        </is>
      </c>
      <c r="V22" s="7" t="inlineStr">
        <is>
          <t>要検討</t>
        </is>
      </c>
      <c r="W22" s="17" t="inlineStr">
        <is>
          <t>規模は小さいが協会との取引実績を作る入口として検討</t>
        </is>
      </c>
      <c r="X22" s="6" t="inlineStr">
        <is>
          <t>新規</t>
        </is>
      </c>
      <c r="Y22" s="22" t="inlineStr">
        <is>
          <t>該当節へ</t>
        </is>
      </c>
      <c r="Z22" s="23" t="inlineStr">
        <is>
          <t>https://kyokai.kougeihin.jp/association_cat/公募公告/</t>
        </is>
      </c>
    </row>
  </sheetData>
  <autoFilter ref="A3:Z22"/>
  <mergeCells count="1">
    <mergeCell ref="A1:E1"/>
  </mergeCells>
  <dataValidations count="1">
    <dataValidation sqref="X4:X22" showDropDown="0" showInputMessage="0" showErrorMessage="0" allowBlank="1" type="list">
      <formula1>"新規,検討中,提出済,見送り,締切超過"</formula1>
    </dataValidation>
  </dataValidations>
  <hyperlinks>
    <hyperlink xmlns:r="http://schemas.openxmlformats.org/officeDocument/2006/relationships" ref="Y4" r:id="rId1"/>
    <hyperlink xmlns:r="http://schemas.openxmlformats.org/officeDocument/2006/relationships" ref="Z4" r:id="rId2"/>
    <hyperlink xmlns:r="http://schemas.openxmlformats.org/officeDocument/2006/relationships" ref="Y5" r:id="rId3"/>
    <hyperlink xmlns:r="http://schemas.openxmlformats.org/officeDocument/2006/relationships" ref="Z5" r:id="rId4"/>
    <hyperlink xmlns:r="http://schemas.openxmlformats.org/officeDocument/2006/relationships" ref="Y6" r:id="rId5"/>
    <hyperlink xmlns:r="http://schemas.openxmlformats.org/officeDocument/2006/relationships" ref="Z6" r:id="rId6"/>
    <hyperlink xmlns:r="http://schemas.openxmlformats.org/officeDocument/2006/relationships" ref="Y7" r:id="rId7"/>
    <hyperlink xmlns:r="http://schemas.openxmlformats.org/officeDocument/2006/relationships" ref="Z7" r:id="rId8"/>
    <hyperlink xmlns:r="http://schemas.openxmlformats.org/officeDocument/2006/relationships" ref="Y8" r:id="rId9"/>
    <hyperlink xmlns:r="http://schemas.openxmlformats.org/officeDocument/2006/relationships" ref="Z8" r:id="rId10"/>
    <hyperlink xmlns:r="http://schemas.openxmlformats.org/officeDocument/2006/relationships" ref="Y9" r:id="rId11"/>
    <hyperlink xmlns:r="http://schemas.openxmlformats.org/officeDocument/2006/relationships" ref="Z9" r:id="rId12"/>
    <hyperlink xmlns:r="http://schemas.openxmlformats.org/officeDocument/2006/relationships" ref="Y10" r:id="rId13"/>
    <hyperlink xmlns:r="http://schemas.openxmlformats.org/officeDocument/2006/relationships" ref="Z10" r:id="rId14"/>
    <hyperlink xmlns:r="http://schemas.openxmlformats.org/officeDocument/2006/relationships" ref="Y11" r:id="rId15"/>
    <hyperlink xmlns:r="http://schemas.openxmlformats.org/officeDocument/2006/relationships" ref="Z11" r:id="rId16"/>
    <hyperlink xmlns:r="http://schemas.openxmlformats.org/officeDocument/2006/relationships" ref="Y12" r:id="rId17"/>
    <hyperlink xmlns:r="http://schemas.openxmlformats.org/officeDocument/2006/relationships" ref="Z12" r:id="rId18"/>
    <hyperlink xmlns:r="http://schemas.openxmlformats.org/officeDocument/2006/relationships" ref="Y13" r:id="rId19"/>
    <hyperlink xmlns:r="http://schemas.openxmlformats.org/officeDocument/2006/relationships" ref="Z13" r:id="rId20"/>
    <hyperlink xmlns:r="http://schemas.openxmlformats.org/officeDocument/2006/relationships" ref="Y14" r:id="rId21"/>
    <hyperlink xmlns:r="http://schemas.openxmlformats.org/officeDocument/2006/relationships" ref="Z14" r:id="rId22"/>
    <hyperlink xmlns:r="http://schemas.openxmlformats.org/officeDocument/2006/relationships" ref="Y15" r:id="rId23"/>
    <hyperlink xmlns:r="http://schemas.openxmlformats.org/officeDocument/2006/relationships" ref="Z15" r:id="rId24"/>
    <hyperlink xmlns:r="http://schemas.openxmlformats.org/officeDocument/2006/relationships" ref="Y16" r:id="rId25"/>
    <hyperlink xmlns:r="http://schemas.openxmlformats.org/officeDocument/2006/relationships" ref="Z16" r:id="rId26"/>
    <hyperlink xmlns:r="http://schemas.openxmlformats.org/officeDocument/2006/relationships" ref="Y17" r:id="rId27"/>
    <hyperlink xmlns:r="http://schemas.openxmlformats.org/officeDocument/2006/relationships" ref="Z17" r:id="rId28"/>
    <hyperlink xmlns:r="http://schemas.openxmlformats.org/officeDocument/2006/relationships" ref="Y18" r:id="rId29"/>
    <hyperlink xmlns:r="http://schemas.openxmlformats.org/officeDocument/2006/relationships" ref="Z18" r:id="rId30"/>
    <hyperlink xmlns:r="http://schemas.openxmlformats.org/officeDocument/2006/relationships" ref="Y19" r:id="rId31"/>
    <hyperlink xmlns:r="http://schemas.openxmlformats.org/officeDocument/2006/relationships" ref="Z19" r:id="rId32"/>
    <hyperlink xmlns:r="http://schemas.openxmlformats.org/officeDocument/2006/relationships" ref="Y20" r:id="rId33"/>
    <hyperlink xmlns:r="http://schemas.openxmlformats.org/officeDocument/2006/relationships" ref="Z20" r:id="rId34"/>
    <hyperlink xmlns:r="http://schemas.openxmlformats.org/officeDocument/2006/relationships" ref="Y21" r:id="rId35"/>
    <hyperlink xmlns:r="http://schemas.openxmlformats.org/officeDocument/2006/relationships" ref="Z21" r:id="rId36"/>
    <hyperlink xmlns:r="http://schemas.openxmlformats.org/officeDocument/2006/relationships" ref="Y22" r:id="rId37"/>
    <hyperlink xmlns:r="http://schemas.openxmlformats.org/officeDocument/2006/relationships" ref="Z22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50" t="inlineStr">
        <is>
          <t>項目定義</t>
        </is>
      </c>
    </row>
    <row r="3">
      <c r="A3" s="51" t="inlineStr">
        <is>
          <t>編集してよいセル</t>
        </is>
      </c>
    </row>
    <row r="4" ht="28" customHeight="1">
      <c r="A4" s="52" t="inlineStr">
        <is>
          <t>・「案件リスト」シートの H1（黄色）… 基準日。今日の日付に変えると「残日数」と「緊急度」が全行再計算されます</t>
        </is>
      </c>
    </row>
    <row r="5" ht="28" customHeight="1">
      <c r="A5" s="52" t="inlineStr">
        <is>
          <t>・「案件リスト」シートの U列 … 状態。ドロップダウンから選べます</t>
        </is>
      </c>
    </row>
    <row r="6" ht="28" customHeight="1">
      <c r="A6" s="52" t="inlineStr">
        <is>
          <t>・それ以外の列は巡回結果です。上書きすると次回の突き合わせができなくなります</t>
        </is>
      </c>
    </row>
    <row r="8">
      <c r="A8" s="53" t="inlineStr">
        <is>
          <t>列</t>
        </is>
      </c>
      <c r="B8" s="53" t="inlineStr">
        <is>
          <t>意味</t>
        </is>
      </c>
    </row>
    <row r="9" ht="18" customHeight="1">
      <c r="A9" s="54" t="inlineStr">
        <is>
          <t>No.</t>
        </is>
      </c>
      <c r="B9" s="55" t="inlineStr">
        <is>
          <t>その回の中での通し番号</t>
        </is>
      </c>
    </row>
    <row r="10" ht="18" customHeight="1">
      <c r="A10" s="54" t="inlineStr">
        <is>
          <t>区分</t>
        </is>
      </c>
      <c r="B10" s="55" t="inlineStr">
        <is>
          <t>公募中 = いま応募できるもの / 予測 = 過去の公告実績から近く出ると見込まれるもの</t>
        </is>
      </c>
    </row>
    <row r="11" ht="30" customHeight="1">
      <c r="A11" s="54" t="inlineStr">
        <is>
          <t>格付</t>
        </is>
      </c>
      <c r="B11" s="55" t="inlineStr">
        <is>
          <t>S / A / B / C。適合度。workflow/eligibility.md [4] の基準</t>
        </is>
      </c>
    </row>
    <row r="12" ht="18" customHeight="1">
      <c r="A12" s="54" t="inlineStr">
        <is>
          <t>緊急度</t>
        </is>
      </c>
      <c r="B12" s="55" t="inlineStr">
        <is>
          <t>【数式】残日数から自動判定。7日以下=至急 / 8〜21日=要着手 / 22日以上=通常</t>
        </is>
      </c>
    </row>
    <row r="13" ht="18" customHeight="1">
      <c r="A13" s="54" t="inlineStr">
        <is>
          <t>残日数</t>
        </is>
      </c>
      <c r="B13" s="55" t="inlineStr">
        <is>
          <t>【数式】直近アクション期限 − 基準日(H1)。締切までの日数ではない</t>
        </is>
      </c>
    </row>
    <row r="14" ht="18" customHeight="1">
      <c r="A14" s="54" t="inlineStr">
        <is>
          <t>案件名</t>
        </is>
      </c>
      <c r="B14" s="55" t="inlineStr">
        <is>
          <t>公告の表記をそのまま</t>
        </is>
      </c>
    </row>
    <row r="15" ht="18" customHeight="1">
      <c r="A15" s="54" t="inlineStr">
        <is>
          <t>種別</t>
        </is>
      </c>
      <c r="B15" s="55" t="inlineStr">
        <is>
          <t>補助金 / 企画競争 / 企画提案 / プロポーザル / 入札 / 委託</t>
        </is>
      </c>
    </row>
    <row r="16" ht="18" customHeight="1">
      <c r="A16" s="54" t="inlineStr">
        <is>
          <t>発注機関</t>
        </is>
      </c>
      <c r="B16" s="55" t="inlineStr">
        <is>
          <t>正式名称</t>
        </is>
      </c>
    </row>
    <row r="17" ht="18" customHeight="1">
      <c r="A17" s="54" t="inlineStr">
        <is>
          <t>見込み金額</t>
        </is>
      </c>
      <c r="B17" s="55" t="inlineStr">
        <is>
          <t>補助金は補助上限額、それ以外は予定価格。不明は「—」</t>
        </is>
      </c>
    </row>
    <row r="18" ht="18" customHeight="1">
      <c r="A18" s="54" t="inlineStr">
        <is>
          <t>金額確度</t>
        </is>
      </c>
      <c r="B18" s="55" t="inlineStr">
        <is>
          <t>◎確定 / △推定 / －非公開。空欄と「調べていない」を区別するため必須</t>
        </is>
      </c>
    </row>
    <row r="19" ht="18" customHeight="1">
      <c r="A19" s="54" t="inlineStr">
        <is>
          <t>公告日</t>
        </is>
      </c>
      <c r="B19" s="55" t="inlineStr"/>
    </row>
    <row r="20" ht="18" customHeight="1">
      <c r="A20" s="54" t="inlineStr">
        <is>
          <t>締切</t>
        </is>
      </c>
      <c r="B20" s="55" t="inlineStr">
        <is>
          <t>時刻まで記載。17:00必着と14:00では動きが変わる</t>
        </is>
      </c>
    </row>
    <row r="21" ht="30" customHeight="1">
      <c r="A21" s="54" t="inlineStr">
        <is>
          <t>直近アクション期限</t>
        </is>
      </c>
      <c r="B21" s="55" t="inlineStr">
        <is>
          <t>締切より前に来る公表期限（説明会申込・質問締切・資格申請など）。無ければ締切と同値。緊急度はこの列で測る</t>
        </is>
      </c>
    </row>
    <row r="22" ht="18" customHeight="1">
      <c r="A22" s="54" t="inlineStr">
        <is>
          <t>直近アクションの内容</t>
        </is>
      </c>
      <c r="B22" s="55" t="inlineStr">
        <is>
          <t>その期限までに何をするか</t>
        </is>
      </c>
    </row>
    <row r="23" ht="18" customHeight="1">
      <c r="A23" s="54" t="inlineStr">
        <is>
          <t>推奨着手日</t>
        </is>
      </c>
      <c r="B23" s="55" t="inlineStr">
        <is>
          <t>こちらの判断で置いた目安。公表期限ではないため緊急度の計算には使わない</t>
        </is>
      </c>
    </row>
    <row r="24" ht="18" customHeight="1">
      <c r="A24" s="54" t="inlineStr">
        <is>
          <t>予測公告時期</t>
        </is>
      </c>
      <c r="B24" s="55" t="inlineStr">
        <is>
          <t>区分=予測 のみ。監視を始めるべき月</t>
        </is>
      </c>
    </row>
    <row r="25" ht="18" customHeight="1">
      <c r="A25" s="54" t="inlineStr">
        <is>
          <t>予測の根拠</t>
        </is>
      </c>
      <c r="B25" s="55" t="inlineStr">
        <is>
          <t>区分=予測 のみ。何年連続で・いつ公告されたか。根拠の無い予測は載せない</t>
        </is>
      </c>
    </row>
    <row r="26" ht="18" customHeight="1">
      <c r="A26" s="54" t="inlineStr">
        <is>
          <t>応募形態</t>
        </is>
      </c>
      <c r="B26" s="55" t="inlineStr">
        <is>
          <t>単独 / 共同 / 支援側 / 受託</t>
        </is>
      </c>
    </row>
    <row r="27" ht="30" customHeight="1">
      <c r="A27" s="54" t="inlineStr">
        <is>
          <t>資格要否</t>
        </is>
      </c>
      <c r="B27" s="55" t="inlineStr">
        <is>
          <t>不要 / 要（間に合う）/ 要（代替可）/ 要（間に合わない）。「代替可」は等級確認等の迂回路がある場合</t>
        </is>
      </c>
    </row>
    <row r="28" ht="18" customHeight="1">
      <c r="A28" s="54" t="inlineStr">
        <is>
          <t>前提条件</t>
        </is>
      </c>
      <c r="B28" s="55" t="inlineStr">
        <is>
          <t>GビズID、Pマーク・ISMS、ナビ登録、現地体制 など</t>
        </is>
      </c>
    </row>
    <row r="29" ht="18" customHeight="1">
      <c r="A29" s="54" t="inlineStr">
        <is>
          <t>実績要件</t>
        </is>
      </c>
      <c r="B29" s="55" t="inlineStr">
        <is>
          <t>○ / △ / × と根拠。△は「要領未取得で未確認」を含む</t>
        </is>
      </c>
    </row>
    <row r="30" ht="18" customHeight="1">
      <c r="A30" s="54" t="inlineStr">
        <is>
          <t>判定</t>
        </is>
      </c>
      <c r="B30" s="55" t="inlineStr">
        <is>
          <t>応募推奨 / 要検討 / 記録のみ / 見送り</t>
        </is>
      </c>
    </row>
    <row r="31" ht="18" customHeight="1">
      <c r="A31" s="54" t="inlineStr">
        <is>
          <t>次アクション</t>
        </is>
      </c>
      <c r="B31" s="55" t="inlineStr">
        <is>
          <t>次に取る動作。無い場合は「対応不要」</t>
        </is>
      </c>
    </row>
    <row r="32" ht="30" customHeight="1">
      <c r="A32" s="54" t="inlineStr">
        <is>
          <t>状態</t>
        </is>
      </c>
      <c r="B32" s="55" t="inlineStr">
        <is>
          <t>新規 / 検討中 / 提出済 / 見送り / 締切超過。data/ledger.csv と同じ語彙</t>
        </is>
      </c>
    </row>
    <row r="33" ht="18" customHeight="1">
      <c r="A33" s="54" t="inlineStr">
        <is>
          <t>レポート</t>
        </is>
      </c>
      <c r="B33" s="55" t="inlineStr">
        <is>
          <t>レポート本文の該当節へのリンク</t>
        </is>
      </c>
    </row>
    <row r="34" ht="18" customHeight="1">
      <c r="A34" s="54" t="inlineStr">
        <is>
          <t>一次情報URL</t>
        </is>
      </c>
      <c r="B34" s="55" t="inlineStr">
        <is>
          <t>発注元の原典。集約サイトのURLは不可</t>
        </is>
      </c>
    </row>
    <row r="36">
      <c r="A36" s="56" t="inlineStr">
        <is>
          <t>出典</t>
        </is>
      </c>
    </row>
    <row r="37">
      <c r="A37" s="4" t="inlineStr">
        <is>
          <t>・巡回日 2026-08-19。項目の仕様は workflow/case-list-schema.md</t>
        </is>
      </c>
    </row>
    <row r="38">
      <c r="A38" s="4" t="inlineStr">
        <is>
          <t>・レポート本文 https://claude.ai/code/artifact/6f25d20f-a5ce-4db2-b4b2-5e46415b52a6</t>
        </is>
      </c>
    </row>
    <row r="39">
      <c r="A39" s="4" t="inlineStr">
        <is>
          <t>・金額・期限はすべて公募要領・公告の原文で確認。推定値は金額確度に「△推定」を入れています</t>
        </is>
      </c>
    </row>
  </sheetData>
  <mergeCells count="6">
    <mergeCell ref="A4:B4"/>
    <mergeCell ref="A38:B38"/>
    <mergeCell ref="A5:B5"/>
    <mergeCell ref="A37:B37"/>
    <mergeCell ref="A6:B6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2026-08-20T08:00:52Z</dcterms:created>
  <dcterms:modified xsi:type="dcterms:W3CDTF">2026-08-20T08:00:52Z</dcterms:modified>
</cp:coreProperties>
</file>