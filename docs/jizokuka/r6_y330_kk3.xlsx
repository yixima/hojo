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showInkAnnotation="0" codeName="ThisWorkbook" hidePivotFieldList="1"/>
  <xr:revisionPtr revIDLastSave="242" documentId="13_ncr:1_{72C28D47-4A19-453E-963D-7A37FAACDFBC}" xr6:coauthVersionLast="47" xr6:coauthVersionMax="47" xr10:uidLastSave="{1FB0AC7F-3889-497F-8022-A9CD2BE1BD38}"/>
  <bookViews>
    <workbookView xWindow="28680" yWindow="-120" windowWidth="29040" windowHeight="15720" tabRatio="784" xr2:uid="{00000000-000D-0000-FFFF-FFFF00000000}"/>
  </bookViews>
  <sheets>
    <sheet name="（様式３）支出計画書" sheetId="16" r:id="rId1"/>
    <sheet name="（別添）積算明細書" sheetId="15" r:id="rId2"/>
    <sheet name="リスト" sheetId="20" state="hidden" r:id="rId3"/>
    <sheet name="（別添）積算明細書 (記入例)" sheetId="23" r:id="rId4"/>
  </sheets>
  <definedNames>
    <definedName name="_xlnm._FilterDatabase" localSheetId="1" hidden="1">'（別添）積算明細書'!$A$6:$AB$477</definedName>
    <definedName name="_xlnm._FilterDatabase" localSheetId="3" hidden="1">'（別添）積算明細書 (記入例)'!$A$6:$AB$477</definedName>
    <definedName name="Done_Apr">#REF!</definedName>
    <definedName name="Done_Aug">#REF!</definedName>
    <definedName name="Done_Dec">#REF!</definedName>
    <definedName name="Done_Feb">#REF!</definedName>
    <definedName name="Done_Jan">#REF!</definedName>
    <definedName name="Done_Jul">#REF!</definedName>
    <definedName name="Done_Jun">#REF!</definedName>
    <definedName name="Done_Mar">#REF!</definedName>
    <definedName name="Done_May">#REF!</definedName>
    <definedName name="Done_Nov">#REF!</definedName>
    <definedName name="Done_Oct">#REF!</definedName>
    <definedName name="Done_Sep">#REF!</definedName>
    <definedName name="_xlnm.Print_Area" localSheetId="0">'（様式３）支出計画書'!$B$2:$H$58</definedName>
    <definedName name="完了">#REF!,#REF!,#REF!,#REF!,#REF!,#REF!,#REF!,#REF!,#REF!,#REF!,#REF!,#REF!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6" l="1"/>
  <c r="D15" i="16"/>
  <c r="C15" i="16"/>
  <c r="H346" i="15"/>
  <c r="H447" i="23"/>
  <c r="H161" i="15"/>
  <c r="D18" i="16"/>
  <c r="D17" i="16"/>
  <c r="H346" i="23" l="1"/>
  <c r="H476" i="23"/>
  <c r="H475" i="23"/>
  <c r="H474" i="23"/>
  <c r="H473" i="23"/>
  <c r="H472" i="23"/>
  <c r="H471" i="23"/>
  <c r="H470" i="23"/>
  <c r="H469" i="23"/>
  <c r="H468" i="23"/>
  <c r="H467" i="23"/>
  <c r="H466" i="23"/>
  <c r="H465" i="23"/>
  <c r="H464" i="23"/>
  <c r="H463" i="23"/>
  <c r="H462" i="23"/>
  <c r="H461" i="23"/>
  <c r="H460" i="23"/>
  <c r="H459" i="23"/>
  <c r="H458" i="23"/>
  <c r="H457" i="23"/>
  <c r="H456" i="23"/>
  <c r="H455" i="23"/>
  <c r="H454" i="23"/>
  <c r="H453" i="23"/>
  <c r="H452" i="23"/>
  <c r="H451" i="23"/>
  <c r="H450" i="23"/>
  <c r="H449" i="23"/>
  <c r="H448" i="23"/>
  <c r="C448" i="23"/>
  <c r="C449" i="23" s="1"/>
  <c r="C450" i="23" s="1"/>
  <c r="C451" i="23" s="1"/>
  <c r="C452" i="23" s="1"/>
  <c r="C453" i="23" s="1"/>
  <c r="C454" i="23" s="1"/>
  <c r="C455" i="23" s="1"/>
  <c r="C456" i="23" s="1"/>
  <c r="C457" i="23" s="1"/>
  <c r="C458" i="23" s="1"/>
  <c r="C459" i="23" s="1"/>
  <c r="C460" i="23" s="1"/>
  <c r="C461" i="23" s="1"/>
  <c r="C462" i="23" s="1"/>
  <c r="C463" i="23" s="1"/>
  <c r="C464" i="23" s="1"/>
  <c r="C465" i="23" s="1"/>
  <c r="C466" i="23" s="1"/>
  <c r="C467" i="23" s="1"/>
  <c r="C468" i="23" s="1"/>
  <c r="C469" i="23" s="1"/>
  <c r="C470" i="23" s="1"/>
  <c r="C471" i="23" s="1"/>
  <c r="C472" i="23" s="1"/>
  <c r="C473" i="23" s="1"/>
  <c r="C474" i="23" s="1"/>
  <c r="C475" i="23" s="1"/>
  <c r="C476" i="23" s="1"/>
  <c r="H445" i="23"/>
  <c r="H444" i="23"/>
  <c r="H443" i="23"/>
  <c r="H442" i="23"/>
  <c r="H441" i="23"/>
  <c r="H440" i="23"/>
  <c r="H439" i="23"/>
  <c r="H438" i="23"/>
  <c r="H437" i="23"/>
  <c r="H436" i="23"/>
  <c r="H435" i="23"/>
  <c r="H434" i="23"/>
  <c r="H433" i="23"/>
  <c r="H432" i="23"/>
  <c r="H431" i="23"/>
  <c r="H430" i="23"/>
  <c r="H429" i="23"/>
  <c r="H428" i="23"/>
  <c r="H427" i="23"/>
  <c r="H426" i="23"/>
  <c r="H425" i="23"/>
  <c r="H424" i="23"/>
  <c r="H423" i="23"/>
  <c r="H422" i="23"/>
  <c r="H421" i="23"/>
  <c r="H420" i="23"/>
  <c r="H419" i="23"/>
  <c r="H418" i="23"/>
  <c r="H417" i="23"/>
  <c r="H416" i="23"/>
  <c r="H415" i="23"/>
  <c r="H414" i="23"/>
  <c r="H413" i="23"/>
  <c r="H412" i="23"/>
  <c r="H411" i="23"/>
  <c r="H410" i="23"/>
  <c r="H409" i="23"/>
  <c r="H408" i="23"/>
  <c r="H407" i="23"/>
  <c r="H406" i="23"/>
  <c r="H405" i="23"/>
  <c r="H404" i="23"/>
  <c r="H403" i="23"/>
  <c r="H402" i="23"/>
  <c r="H401" i="23"/>
  <c r="H400" i="23"/>
  <c r="H399" i="23"/>
  <c r="H398" i="23"/>
  <c r="H397" i="23"/>
  <c r="H396" i="23"/>
  <c r="H395" i="23"/>
  <c r="H394" i="23"/>
  <c r="H393" i="23"/>
  <c r="H392" i="23"/>
  <c r="H391" i="23"/>
  <c r="H390" i="23"/>
  <c r="H389" i="23"/>
  <c r="H388" i="23"/>
  <c r="H387" i="23"/>
  <c r="H386" i="23"/>
  <c r="H385" i="23"/>
  <c r="H384" i="23"/>
  <c r="H383" i="23"/>
  <c r="H382" i="23"/>
  <c r="H381" i="23"/>
  <c r="H380" i="23"/>
  <c r="H379" i="23"/>
  <c r="H378" i="23"/>
  <c r="H377" i="23"/>
  <c r="H376" i="23"/>
  <c r="H375" i="23"/>
  <c r="H374" i="23"/>
  <c r="H373" i="23"/>
  <c r="H372" i="23"/>
  <c r="H371" i="23"/>
  <c r="H370" i="23"/>
  <c r="H369" i="23"/>
  <c r="H368" i="23"/>
  <c r="H367" i="23"/>
  <c r="H366" i="23"/>
  <c r="H365" i="23"/>
  <c r="H364" i="23"/>
  <c r="H363" i="23"/>
  <c r="H362" i="23"/>
  <c r="H361" i="23"/>
  <c r="H360" i="23"/>
  <c r="H359" i="23"/>
  <c r="H358" i="23"/>
  <c r="H357" i="23"/>
  <c r="H356" i="23"/>
  <c r="H355" i="23"/>
  <c r="H354" i="23"/>
  <c r="H353" i="23"/>
  <c r="H352" i="23"/>
  <c r="H351" i="23"/>
  <c r="H350" i="23"/>
  <c r="H349" i="23"/>
  <c r="H348" i="23"/>
  <c r="H347" i="23"/>
  <c r="C347" i="23"/>
  <c r="C348" i="23" s="1"/>
  <c r="C349" i="23" s="1"/>
  <c r="C350" i="23" s="1"/>
  <c r="C351" i="23" s="1"/>
  <c r="C352" i="23" s="1"/>
  <c r="C353" i="23" s="1"/>
  <c r="C354" i="23" s="1"/>
  <c r="C355" i="23" s="1"/>
  <c r="C356" i="23" s="1"/>
  <c r="C357" i="23" s="1"/>
  <c r="C358" i="23" s="1"/>
  <c r="C359" i="23" s="1"/>
  <c r="C360" i="23" s="1"/>
  <c r="C361" i="23" s="1"/>
  <c r="C362" i="23" s="1"/>
  <c r="C363" i="23" s="1"/>
  <c r="C364" i="23" s="1"/>
  <c r="C365" i="23" s="1"/>
  <c r="C366" i="23" s="1"/>
  <c r="C367" i="23" s="1"/>
  <c r="C368" i="23" s="1"/>
  <c r="C369" i="23" s="1"/>
  <c r="C370" i="23" s="1"/>
  <c r="C371" i="23" s="1"/>
  <c r="C372" i="23" s="1"/>
  <c r="C373" i="23" s="1"/>
  <c r="C374" i="23" s="1"/>
  <c r="C375" i="23" s="1"/>
  <c r="C376" i="23" s="1"/>
  <c r="C377" i="23" s="1"/>
  <c r="C378" i="23" s="1"/>
  <c r="C379" i="23" s="1"/>
  <c r="C380" i="23" s="1"/>
  <c r="C381" i="23" s="1"/>
  <c r="C382" i="23" s="1"/>
  <c r="C383" i="23" s="1"/>
  <c r="C384" i="23" s="1"/>
  <c r="C385" i="23" s="1"/>
  <c r="C386" i="23" s="1"/>
  <c r="C387" i="23" s="1"/>
  <c r="C388" i="23" s="1"/>
  <c r="C389" i="23" s="1"/>
  <c r="C390" i="23" s="1"/>
  <c r="C391" i="23" s="1"/>
  <c r="C392" i="23" s="1"/>
  <c r="C393" i="23" s="1"/>
  <c r="C394" i="23" s="1"/>
  <c r="C395" i="23" s="1"/>
  <c r="C396" i="23" s="1"/>
  <c r="C397" i="23" s="1"/>
  <c r="C398" i="23" s="1"/>
  <c r="C399" i="23" s="1"/>
  <c r="C400" i="23" s="1"/>
  <c r="C401" i="23" s="1"/>
  <c r="C402" i="23" s="1"/>
  <c r="C403" i="23" s="1"/>
  <c r="C404" i="23" s="1"/>
  <c r="C405" i="23" s="1"/>
  <c r="C406" i="23" s="1"/>
  <c r="C407" i="23" s="1"/>
  <c r="C408" i="23" s="1"/>
  <c r="C409" i="23" s="1"/>
  <c r="C410" i="23" s="1"/>
  <c r="C411" i="23" s="1"/>
  <c r="C412" i="23" s="1"/>
  <c r="C413" i="23" s="1"/>
  <c r="C414" i="23" s="1"/>
  <c r="C415" i="23" s="1"/>
  <c r="C416" i="23" s="1"/>
  <c r="C417" i="23" s="1"/>
  <c r="C418" i="23" s="1"/>
  <c r="C419" i="23" s="1"/>
  <c r="C420" i="23" s="1"/>
  <c r="C421" i="23" s="1"/>
  <c r="C422" i="23" s="1"/>
  <c r="C423" i="23" s="1"/>
  <c r="C424" i="23" s="1"/>
  <c r="C425" i="23" s="1"/>
  <c r="C426" i="23" s="1"/>
  <c r="C427" i="23" s="1"/>
  <c r="C428" i="23" s="1"/>
  <c r="C429" i="23" s="1"/>
  <c r="C430" i="23" s="1"/>
  <c r="C431" i="23" s="1"/>
  <c r="C432" i="23" s="1"/>
  <c r="C433" i="23" s="1"/>
  <c r="C434" i="23" s="1"/>
  <c r="C435" i="23" s="1"/>
  <c r="C436" i="23" s="1"/>
  <c r="C437" i="23" s="1"/>
  <c r="C438" i="23" s="1"/>
  <c r="C439" i="23" s="1"/>
  <c r="C440" i="23" s="1"/>
  <c r="C441" i="23" s="1"/>
  <c r="C442" i="23" s="1"/>
  <c r="C443" i="23" s="1"/>
  <c r="C444" i="23" s="1"/>
  <c r="C445" i="23" s="1"/>
  <c r="H344" i="23"/>
  <c r="H343" i="23"/>
  <c r="H342" i="23"/>
  <c r="H341" i="23"/>
  <c r="H340" i="23"/>
  <c r="H339" i="23"/>
  <c r="H338" i="23"/>
  <c r="H337" i="23"/>
  <c r="H336" i="23"/>
  <c r="H335" i="23"/>
  <c r="H334" i="23"/>
  <c r="H333" i="23"/>
  <c r="H332" i="23"/>
  <c r="H331" i="23"/>
  <c r="H330" i="23"/>
  <c r="H329" i="23"/>
  <c r="H328" i="23"/>
  <c r="H327" i="23"/>
  <c r="H326" i="23"/>
  <c r="H325" i="23"/>
  <c r="H324" i="23"/>
  <c r="H323" i="23"/>
  <c r="H322" i="23"/>
  <c r="H321" i="23"/>
  <c r="H320" i="23"/>
  <c r="H319" i="23"/>
  <c r="H318" i="23"/>
  <c r="H317" i="23"/>
  <c r="H316" i="23"/>
  <c r="C316" i="23"/>
  <c r="C317" i="23" s="1"/>
  <c r="C318" i="23" s="1"/>
  <c r="C319" i="23" s="1"/>
  <c r="C320" i="23" s="1"/>
  <c r="C321" i="23" s="1"/>
  <c r="C322" i="23" s="1"/>
  <c r="C323" i="23" s="1"/>
  <c r="C324" i="23" s="1"/>
  <c r="C325" i="23" s="1"/>
  <c r="C326" i="23" s="1"/>
  <c r="C327" i="23" s="1"/>
  <c r="C328" i="23" s="1"/>
  <c r="C329" i="23" s="1"/>
  <c r="C330" i="23" s="1"/>
  <c r="C331" i="23" s="1"/>
  <c r="C332" i="23" s="1"/>
  <c r="C333" i="23" s="1"/>
  <c r="C334" i="23" s="1"/>
  <c r="C335" i="23" s="1"/>
  <c r="C336" i="23" s="1"/>
  <c r="C337" i="23" s="1"/>
  <c r="C338" i="23" s="1"/>
  <c r="C339" i="23" s="1"/>
  <c r="C340" i="23" s="1"/>
  <c r="C341" i="23" s="1"/>
  <c r="C342" i="23" s="1"/>
  <c r="C343" i="23" s="1"/>
  <c r="C344" i="23" s="1"/>
  <c r="H315" i="23"/>
  <c r="H313" i="23"/>
  <c r="H312" i="23"/>
  <c r="H311" i="23"/>
  <c r="H310" i="23"/>
  <c r="H309" i="23"/>
  <c r="H308" i="23"/>
  <c r="H307" i="23"/>
  <c r="H306" i="23"/>
  <c r="H305" i="23"/>
  <c r="H304" i="23"/>
  <c r="H303" i="23"/>
  <c r="H302" i="23"/>
  <c r="H301" i="23"/>
  <c r="H300" i="23"/>
  <c r="H299" i="23"/>
  <c r="H298" i="23"/>
  <c r="H297" i="23"/>
  <c r="H296" i="23"/>
  <c r="H295" i="23"/>
  <c r="H294" i="23"/>
  <c r="H293" i="23"/>
  <c r="H292" i="23"/>
  <c r="H291" i="23"/>
  <c r="C291" i="23"/>
  <c r="C292" i="23" s="1"/>
  <c r="C293" i="23" s="1"/>
  <c r="C294" i="23" s="1"/>
  <c r="C295" i="23" s="1"/>
  <c r="C296" i="23" s="1"/>
  <c r="C297" i="23" s="1"/>
  <c r="C298" i="23" s="1"/>
  <c r="C299" i="23" s="1"/>
  <c r="C300" i="23" s="1"/>
  <c r="C301" i="23" s="1"/>
  <c r="C302" i="23" s="1"/>
  <c r="C303" i="23" s="1"/>
  <c r="C304" i="23" s="1"/>
  <c r="C305" i="23" s="1"/>
  <c r="C306" i="23" s="1"/>
  <c r="C307" i="23" s="1"/>
  <c r="C308" i="23" s="1"/>
  <c r="C309" i="23" s="1"/>
  <c r="C310" i="23" s="1"/>
  <c r="C311" i="23" s="1"/>
  <c r="C312" i="23" s="1"/>
  <c r="C313" i="23" s="1"/>
  <c r="H290" i="23"/>
  <c r="H289" i="23"/>
  <c r="H288" i="23"/>
  <c r="H287" i="23"/>
  <c r="H286" i="23"/>
  <c r="H285" i="23"/>
  <c r="C285" i="23"/>
  <c r="C286" i="23" s="1"/>
  <c r="C287" i="23" s="1"/>
  <c r="C288" i="23" s="1"/>
  <c r="C289" i="23" s="1"/>
  <c r="C290" i="23" s="1"/>
  <c r="H284" i="23"/>
  <c r="H282" i="23"/>
  <c r="H281" i="23"/>
  <c r="H280" i="23"/>
  <c r="H279" i="23"/>
  <c r="H278" i="23"/>
  <c r="H277" i="23"/>
  <c r="H276" i="23"/>
  <c r="H275" i="23"/>
  <c r="H274" i="23"/>
  <c r="H273" i="23"/>
  <c r="H272" i="23"/>
  <c r="H271" i="23"/>
  <c r="H270" i="23"/>
  <c r="H269" i="23"/>
  <c r="H268" i="23"/>
  <c r="H267" i="23"/>
  <c r="H266" i="23"/>
  <c r="H265" i="23"/>
  <c r="H264" i="23"/>
  <c r="H263" i="23"/>
  <c r="H262" i="23"/>
  <c r="H261" i="23"/>
  <c r="H260" i="23"/>
  <c r="H259" i="23"/>
  <c r="H258" i="23"/>
  <c r="H257" i="23"/>
  <c r="H256" i="23"/>
  <c r="H255" i="23"/>
  <c r="H254" i="23"/>
  <c r="C254" i="23"/>
  <c r="C255" i="23" s="1"/>
  <c r="C256" i="23" s="1"/>
  <c r="C257" i="23" s="1"/>
  <c r="C258" i="23" s="1"/>
  <c r="C259" i="23" s="1"/>
  <c r="C260" i="23" s="1"/>
  <c r="C261" i="23" s="1"/>
  <c r="C262" i="23" s="1"/>
  <c r="C263" i="23" s="1"/>
  <c r="C264" i="23" s="1"/>
  <c r="C265" i="23" s="1"/>
  <c r="C266" i="23" s="1"/>
  <c r="C267" i="23" s="1"/>
  <c r="C268" i="23" s="1"/>
  <c r="C269" i="23" s="1"/>
  <c r="C270" i="23" s="1"/>
  <c r="C271" i="23" s="1"/>
  <c r="C272" i="23" s="1"/>
  <c r="C273" i="23" s="1"/>
  <c r="C274" i="23" s="1"/>
  <c r="C275" i="23" s="1"/>
  <c r="C276" i="23" s="1"/>
  <c r="C277" i="23" s="1"/>
  <c r="C278" i="23" s="1"/>
  <c r="C279" i="23" s="1"/>
  <c r="C280" i="23" s="1"/>
  <c r="C281" i="23" s="1"/>
  <c r="C282" i="23" s="1"/>
  <c r="H253" i="23"/>
  <c r="H251" i="23"/>
  <c r="H250" i="23"/>
  <c r="H249" i="23"/>
  <c r="H248" i="23"/>
  <c r="H247" i="23"/>
  <c r="H246" i="23"/>
  <c r="H245" i="23"/>
  <c r="H244" i="23"/>
  <c r="H243" i="23"/>
  <c r="H242" i="23"/>
  <c r="H241" i="23"/>
  <c r="H240" i="23"/>
  <c r="H239" i="23"/>
  <c r="H238" i="23"/>
  <c r="H237" i="23"/>
  <c r="H236" i="23"/>
  <c r="H235" i="23"/>
  <c r="H234" i="23"/>
  <c r="H233" i="23"/>
  <c r="H232" i="23"/>
  <c r="H231" i="23"/>
  <c r="H230" i="23"/>
  <c r="H229" i="23"/>
  <c r="H228" i="23"/>
  <c r="H227" i="23"/>
  <c r="H226" i="23"/>
  <c r="H225" i="23"/>
  <c r="H224" i="23"/>
  <c r="H223" i="23"/>
  <c r="C223" i="23"/>
  <c r="C224" i="23" s="1"/>
  <c r="C225" i="23" s="1"/>
  <c r="C226" i="23" s="1"/>
  <c r="C227" i="23" s="1"/>
  <c r="C228" i="23" s="1"/>
  <c r="C229" i="23" s="1"/>
  <c r="C230" i="23" s="1"/>
  <c r="C231" i="23" s="1"/>
  <c r="C232" i="23" s="1"/>
  <c r="C233" i="23" s="1"/>
  <c r="C234" i="23" s="1"/>
  <c r="C235" i="23" s="1"/>
  <c r="C236" i="23" s="1"/>
  <c r="C237" i="23" s="1"/>
  <c r="C238" i="23" s="1"/>
  <c r="C239" i="23" s="1"/>
  <c r="C240" i="23" s="1"/>
  <c r="C241" i="23" s="1"/>
  <c r="C242" i="23" s="1"/>
  <c r="C243" i="23" s="1"/>
  <c r="C244" i="23" s="1"/>
  <c r="C245" i="23" s="1"/>
  <c r="C246" i="23" s="1"/>
  <c r="C247" i="23" s="1"/>
  <c r="C248" i="23" s="1"/>
  <c r="C249" i="23" s="1"/>
  <c r="C250" i="23" s="1"/>
  <c r="C251" i="23" s="1"/>
  <c r="H222" i="23"/>
  <c r="H220" i="23"/>
  <c r="H219" i="23"/>
  <c r="H218" i="23"/>
  <c r="H217" i="23"/>
  <c r="H216" i="23"/>
  <c r="H215" i="23"/>
  <c r="H214" i="23"/>
  <c r="H213" i="23"/>
  <c r="H212" i="23"/>
  <c r="H211" i="23"/>
  <c r="H210" i="23"/>
  <c r="H209" i="23"/>
  <c r="H208" i="23"/>
  <c r="H207" i="23"/>
  <c r="H206" i="23"/>
  <c r="H205" i="23"/>
  <c r="H204" i="23"/>
  <c r="H203" i="23"/>
  <c r="H202" i="23"/>
  <c r="H201" i="23"/>
  <c r="H200" i="23"/>
  <c r="H199" i="23"/>
  <c r="H198" i="23"/>
  <c r="H197" i="23"/>
  <c r="H196" i="23"/>
  <c r="H195" i="23"/>
  <c r="H194" i="23"/>
  <c r="H193" i="23"/>
  <c r="H192" i="23"/>
  <c r="H191" i="23"/>
  <c r="H190" i="23"/>
  <c r="H189" i="23"/>
  <c r="H188" i="23"/>
  <c r="H187" i="23"/>
  <c r="H186" i="23"/>
  <c r="H185" i="23"/>
  <c r="H184" i="23"/>
  <c r="H183" i="23"/>
  <c r="H182" i="23"/>
  <c r="H181" i="23"/>
  <c r="H180" i="23"/>
  <c r="H179" i="23"/>
  <c r="H178" i="23"/>
  <c r="H177" i="23"/>
  <c r="H176" i="23"/>
  <c r="H175" i="23"/>
  <c r="H174" i="23"/>
  <c r="H173" i="23"/>
  <c r="H172" i="23"/>
  <c r="H171" i="23"/>
  <c r="H170" i="23"/>
  <c r="H169" i="23"/>
  <c r="H168" i="23"/>
  <c r="H167" i="23"/>
  <c r="H166" i="23"/>
  <c r="H165" i="23"/>
  <c r="H164" i="23"/>
  <c r="H163" i="23"/>
  <c r="H162" i="23"/>
  <c r="C162" i="23"/>
  <c r="C163" i="23" s="1"/>
  <c r="C164" i="23" s="1"/>
  <c r="C165" i="23" s="1"/>
  <c r="C166" i="23" s="1"/>
  <c r="C167" i="23" s="1"/>
  <c r="C168" i="23" s="1"/>
  <c r="C169" i="23" s="1"/>
  <c r="C170" i="23" s="1"/>
  <c r="C171" i="23" s="1"/>
  <c r="C172" i="23" s="1"/>
  <c r="C173" i="23" s="1"/>
  <c r="C174" i="23" s="1"/>
  <c r="C175" i="23" s="1"/>
  <c r="C176" i="23" s="1"/>
  <c r="C177" i="23" s="1"/>
  <c r="C178" i="23" s="1"/>
  <c r="C179" i="23" s="1"/>
  <c r="C180" i="23" s="1"/>
  <c r="C181" i="23" s="1"/>
  <c r="C182" i="23" s="1"/>
  <c r="C183" i="23" s="1"/>
  <c r="C184" i="23" s="1"/>
  <c r="C185" i="23" s="1"/>
  <c r="C186" i="23" s="1"/>
  <c r="C187" i="23" s="1"/>
  <c r="C188" i="23" s="1"/>
  <c r="C189" i="23" s="1"/>
  <c r="C190" i="23" s="1"/>
  <c r="C191" i="23" s="1"/>
  <c r="C192" i="23" s="1"/>
  <c r="C193" i="23" s="1"/>
  <c r="C194" i="23" s="1"/>
  <c r="C195" i="23" s="1"/>
  <c r="C196" i="23" s="1"/>
  <c r="C197" i="23" s="1"/>
  <c r="C198" i="23" s="1"/>
  <c r="C199" i="23" s="1"/>
  <c r="C200" i="23" s="1"/>
  <c r="C201" i="23" s="1"/>
  <c r="C202" i="23" s="1"/>
  <c r="C203" i="23" s="1"/>
  <c r="C204" i="23" s="1"/>
  <c r="C205" i="23" s="1"/>
  <c r="C206" i="23" s="1"/>
  <c r="C207" i="23" s="1"/>
  <c r="C208" i="23" s="1"/>
  <c r="C209" i="23" s="1"/>
  <c r="C210" i="23" s="1"/>
  <c r="C211" i="23" s="1"/>
  <c r="C212" i="23" s="1"/>
  <c r="C213" i="23" s="1"/>
  <c r="C214" i="23" s="1"/>
  <c r="C215" i="23" s="1"/>
  <c r="C216" i="23" s="1"/>
  <c r="C217" i="23" s="1"/>
  <c r="C218" i="23" s="1"/>
  <c r="C219" i="23" s="1"/>
  <c r="C220" i="23" s="1"/>
  <c r="H161" i="23"/>
  <c r="H159" i="23"/>
  <c r="H158" i="23"/>
  <c r="H157" i="23"/>
  <c r="H156" i="23"/>
  <c r="H155" i="23"/>
  <c r="H154" i="23"/>
  <c r="H153" i="23"/>
  <c r="H152" i="23"/>
  <c r="H151" i="23"/>
  <c r="H150" i="23"/>
  <c r="H149" i="23"/>
  <c r="H148" i="23"/>
  <c r="H147" i="23"/>
  <c r="H146" i="23"/>
  <c r="H145" i="23"/>
  <c r="H144" i="23"/>
  <c r="H143" i="23"/>
  <c r="H142" i="23"/>
  <c r="H141" i="23"/>
  <c r="H140" i="23"/>
  <c r="H139" i="23"/>
  <c r="H138" i="23"/>
  <c r="H137" i="23"/>
  <c r="H136" i="23"/>
  <c r="H135" i="23"/>
  <c r="H134" i="23"/>
  <c r="H133" i="23"/>
  <c r="H132" i="23"/>
  <c r="H131" i="23"/>
  <c r="C131" i="23"/>
  <c r="C132" i="23" s="1"/>
  <c r="C133" i="23" s="1"/>
  <c r="C134" i="23" s="1"/>
  <c r="C135" i="23" s="1"/>
  <c r="C136" i="23" s="1"/>
  <c r="C137" i="23" s="1"/>
  <c r="C138" i="23" s="1"/>
  <c r="C139" i="23" s="1"/>
  <c r="C140" i="23" s="1"/>
  <c r="C141" i="23" s="1"/>
  <c r="C142" i="23" s="1"/>
  <c r="C143" i="23" s="1"/>
  <c r="C144" i="23" s="1"/>
  <c r="C145" i="23" s="1"/>
  <c r="C146" i="23" s="1"/>
  <c r="C147" i="23" s="1"/>
  <c r="C148" i="23" s="1"/>
  <c r="C149" i="23" s="1"/>
  <c r="C150" i="23" s="1"/>
  <c r="C151" i="23" s="1"/>
  <c r="C152" i="23" s="1"/>
  <c r="C153" i="23" s="1"/>
  <c r="C154" i="23" s="1"/>
  <c r="C155" i="23" s="1"/>
  <c r="C156" i="23" s="1"/>
  <c r="C157" i="23" s="1"/>
  <c r="C158" i="23" s="1"/>
  <c r="C159" i="23" s="1"/>
  <c r="H130" i="23"/>
  <c r="H128" i="23"/>
  <c r="H127" i="23"/>
  <c r="H126" i="23"/>
  <c r="H125" i="23"/>
  <c r="H124" i="23"/>
  <c r="H123" i="23"/>
  <c r="H122" i="23"/>
  <c r="H121" i="23"/>
  <c r="H120" i="23"/>
  <c r="H119" i="23"/>
  <c r="H118" i="23"/>
  <c r="H117" i="23"/>
  <c r="H116" i="23"/>
  <c r="H115" i="23"/>
  <c r="H114" i="23"/>
  <c r="H113" i="23"/>
  <c r="H112" i="23"/>
  <c r="H111" i="23"/>
  <c r="H110" i="23"/>
  <c r="H109" i="23"/>
  <c r="H108" i="23"/>
  <c r="H107" i="23"/>
  <c r="H106" i="23"/>
  <c r="H105" i="23"/>
  <c r="H104" i="23"/>
  <c r="H103" i="23"/>
  <c r="H102" i="23"/>
  <c r="H101" i="23"/>
  <c r="H100" i="23"/>
  <c r="C100" i="23"/>
  <c r="C101" i="23" s="1"/>
  <c r="C102" i="23" s="1"/>
  <c r="C103" i="23" s="1"/>
  <c r="C104" i="23" s="1"/>
  <c r="C105" i="23" s="1"/>
  <c r="C106" i="23" s="1"/>
  <c r="C107" i="23" s="1"/>
  <c r="C108" i="23" s="1"/>
  <c r="C109" i="23" s="1"/>
  <c r="C110" i="23" s="1"/>
  <c r="C111" i="23" s="1"/>
  <c r="C112" i="23" s="1"/>
  <c r="C113" i="23" s="1"/>
  <c r="C114" i="23" s="1"/>
  <c r="C115" i="23" s="1"/>
  <c r="C116" i="23" s="1"/>
  <c r="C117" i="23" s="1"/>
  <c r="C118" i="23" s="1"/>
  <c r="C119" i="23" s="1"/>
  <c r="C120" i="23" s="1"/>
  <c r="C121" i="23" s="1"/>
  <c r="C122" i="23" s="1"/>
  <c r="C123" i="23" s="1"/>
  <c r="C124" i="23" s="1"/>
  <c r="C125" i="23" s="1"/>
  <c r="C126" i="23" s="1"/>
  <c r="C127" i="23" s="1"/>
  <c r="C128" i="23" s="1"/>
  <c r="H99" i="23"/>
  <c r="H97" i="23"/>
  <c r="H96" i="23"/>
  <c r="H95" i="23"/>
  <c r="H94" i="23"/>
  <c r="H93" i="23"/>
  <c r="H92" i="23"/>
  <c r="H91" i="23"/>
  <c r="H90" i="23"/>
  <c r="H89" i="23"/>
  <c r="H88" i="23"/>
  <c r="H87" i="23"/>
  <c r="H86" i="23"/>
  <c r="H85" i="23"/>
  <c r="H84" i="23"/>
  <c r="H83" i="23"/>
  <c r="H82" i="23"/>
  <c r="H81" i="23"/>
  <c r="H80" i="23"/>
  <c r="H79" i="23"/>
  <c r="H78" i="23"/>
  <c r="H77" i="23"/>
  <c r="H76" i="23"/>
  <c r="H75" i="23"/>
  <c r="H74" i="23"/>
  <c r="H73" i="23"/>
  <c r="H72" i="23"/>
  <c r="H71" i="23"/>
  <c r="H70" i="23"/>
  <c r="H69" i="23"/>
  <c r="C69" i="23"/>
  <c r="C70" i="23" s="1"/>
  <c r="C71" i="23" s="1"/>
  <c r="C72" i="23" s="1"/>
  <c r="C73" i="23" s="1"/>
  <c r="C74" i="23" s="1"/>
  <c r="C75" i="23" s="1"/>
  <c r="C76" i="23" s="1"/>
  <c r="C77" i="23" s="1"/>
  <c r="C78" i="23" s="1"/>
  <c r="C79" i="23" s="1"/>
  <c r="C80" i="23" s="1"/>
  <c r="C81" i="23" s="1"/>
  <c r="C82" i="23" s="1"/>
  <c r="C83" i="23" s="1"/>
  <c r="C84" i="23" s="1"/>
  <c r="C85" i="23" s="1"/>
  <c r="C86" i="23" s="1"/>
  <c r="C87" i="23" s="1"/>
  <c r="C88" i="23" s="1"/>
  <c r="C89" i="23" s="1"/>
  <c r="C90" i="23" s="1"/>
  <c r="C91" i="23" s="1"/>
  <c r="C92" i="23" s="1"/>
  <c r="C93" i="23" s="1"/>
  <c r="C94" i="23" s="1"/>
  <c r="C95" i="23" s="1"/>
  <c r="C96" i="23" s="1"/>
  <c r="C97" i="23" s="1"/>
  <c r="H68"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10" i="23"/>
  <c r="H9" i="23"/>
  <c r="H8" i="23"/>
  <c r="C8" i="23"/>
  <c r="C9" i="23" s="1"/>
  <c r="C10" i="23" s="1"/>
  <c r="C11" i="23" s="1"/>
  <c r="C12" i="23" s="1"/>
  <c r="C13" i="23" s="1"/>
  <c r="C14" i="23" s="1"/>
  <c r="C15" i="23" s="1"/>
  <c r="C16" i="23" s="1"/>
  <c r="C17" i="23" s="1"/>
  <c r="C18" i="23" s="1"/>
  <c r="C19" i="23" s="1"/>
  <c r="C20" i="23" s="1"/>
  <c r="C21" i="23" s="1"/>
  <c r="C22" i="23" s="1"/>
  <c r="C23" i="23" s="1"/>
  <c r="C24" i="23" s="1"/>
  <c r="C25" i="23" s="1"/>
  <c r="C26" i="23" s="1"/>
  <c r="C27" i="23" s="1"/>
  <c r="C28" i="23" s="1"/>
  <c r="C29" i="23" s="1"/>
  <c r="C30" i="23" s="1"/>
  <c r="C31" i="23" s="1"/>
  <c r="C32" i="23" s="1"/>
  <c r="C33" i="23" s="1"/>
  <c r="C34" i="23" s="1"/>
  <c r="C35" i="23" s="1"/>
  <c r="C36" i="23" s="1"/>
  <c r="C37" i="23" s="1"/>
  <c r="C38" i="23" s="1"/>
  <c r="C39" i="23" s="1"/>
  <c r="C40" i="23" s="1"/>
  <c r="C41" i="23" s="1"/>
  <c r="C42" i="23" s="1"/>
  <c r="C43" i="23" s="1"/>
  <c r="C44" i="23" s="1"/>
  <c r="C45" i="23" s="1"/>
  <c r="C46" i="23" s="1"/>
  <c r="C47" i="23" s="1"/>
  <c r="C48" i="23" s="1"/>
  <c r="C49" i="23" s="1"/>
  <c r="C50" i="23" s="1"/>
  <c r="C51" i="23" s="1"/>
  <c r="C52" i="23" s="1"/>
  <c r="C53" i="23" s="1"/>
  <c r="C54" i="23" s="1"/>
  <c r="C55" i="23" s="1"/>
  <c r="C56" i="23" s="1"/>
  <c r="C57" i="23" s="1"/>
  <c r="C58" i="23" s="1"/>
  <c r="C59" i="23" s="1"/>
  <c r="C60" i="23" s="1"/>
  <c r="C61" i="23" s="1"/>
  <c r="C62" i="23" s="1"/>
  <c r="C63" i="23" s="1"/>
  <c r="C64" i="23" s="1"/>
  <c r="C65" i="23" s="1"/>
  <c r="C66" i="23" s="1"/>
  <c r="H7" i="23"/>
  <c r="O2" i="23"/>
  <c r="H7" i="15"/>
  <c r="H68" i="15"/>
  <c r="H99" i="15"/>
  <c r="H100" i="15"/>
  <c r="H130" i="15"/>
  <c r="H162" i="15"/>
  <c r="H163" i="15"/>
  <c r="H164" i="15"/>
  <c r="H222" i="15"/>
  <c r="H253" i="15"/>
  <c r="H284" i="15"/>
  <c r="H285" i="15"/>
  <c r="H286" i="15"/>
  <c r="H287" i="15"/>
  <c r="H315" i="15"/>
  <c r="G6" i="16"/>
  <c r="H416" i="15"/>
  <c r="H417" i="15"/>
  <c r="H418" i="15"/>
  <c r="H419" i="15"/>
  <c r="H420" i="15"/>
  <c r="H421" i="15"/>
  <c r="H422" i="15"/>
  <c r="H423" i="15"/>
  <c r="H424" i="15"/>
  <c r="H425" i="15"/>
  <c r="H426" i="15"/>
  <c r="H427" i="15"/>
  <c r="H428" i="15"/>
  <c r="H429" i="15"/>
  <c r="H430" i="15"/>
  <c r="H431" i="15"/>
  <c r="H432" i="15"/>
  <c r="H433" i="15"/>
  <c r="H434" i="15"/>
  <c r="H435" i="15"/>
  <c r="H436" i="15"/>
  <c r="H366" i="15"/>
  <c r="H367" i="15"/>
  <c r="H368" i="15"/>
  <c r="H369" i="15"/>
  <c r="H370" i="15"/>
  <c r="H371" i="15"/>
  <c r="H372" i="15"/>
  <c r="H373" i="15"/>
  <c r="H374" i="15"/>
  <c r="H375" i="15"/>
  <c r="H376" i="15"/>
  <c r="H377" i="15"/>
  <c r="H378" i="15"/>
  <c r="H379" i="15"/>
  <c r="H380" i="15"/>
  <c r="H381" i="15"/>
  <c r="H382" i="15"/>
  <c r="H383" i="15"/>
  <c r="H384" i="15"/>
  <c r="H385" i="15"/>
  <c r="H386" i="15"/>
  <c r="H387" i="15"/>
  <c r="H388" i="15"/>
  <c r="H389" i="15"/>
  <c r="H390" i="15"/>
  <c r="H391" i="15"/>
  <c r="H392" i="15"/>
  <c r="H393" i="15"/>
  <c r="H394" i="15"/>
  <c r="H395" i="15"/>
  <c r="H396" i="15"/>
  <c r="H397" i="15"/>
  <c r="H398" i="15"/>
  <c r="H399" i="15"/>
  <c r="H400" i="15"/>
  <c r="H401" i="15"/>
  <c r="H402" i="15"/>
  <c r="H403" i="15"/>
  <c r="H404" i="15"/>
  <c r="H405" i="15"/>
  <c r="H406" i="15"/>
  <c r="H407" i="15"/>
  <c r="H408" i="15"/>
  <c r="H409" i="15"/>
  <c r="H410" i="15"/>
  <c r="H411" i="15"/>
  <c r="H412" i="15"/>
  <c r="H413" i="15"/>
  <c r="H414" i="15"/>
  <c r="H415" i="15"/>
  <c r="H213" i="15"/>
  <c r="H207" i="15"/>
  <c r="H208" i="15"/>
  <c r="H209" i="15"/>
  <c r="H210" i="15"/>
  <c r="H21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12"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98" i="23" l="1"/>
  <c r="H345" i="23"/>
  <c r="H67" i="23"/>
  <c r="H129" i="23"/>
  <c r="H283" i="23"/>
  <c r="H446" i="23"/>
  <c r="H160" i="23"/>
  <c r="H221" i="23"/>
  <c r="H314" i="23"/>
  <c r="H252" i="23"/>
  <c r="H477" i="23"/>
  <c r="C448" i="15"/>
  <c r="C449" i="15" s="1"/>
  <c r="C450" i="15" s="1"/>
  <c r="C451" i="15" s="1"/>
  <c r="C452" i="15" s="1"/>
  <c r="C453" i="15" s="1"/>
  <c r="C454" i="15" s="1"/>
  <c r="C455" i="15" s="1"/>
  <c r="C456" i="15" s="1"/>
  <c r="C457" i="15" s="1"/>
  <c r="C458" i="15" s="1"/>
  <c r="C459" i="15" s="1"/>
  <c r="C460" i="15" s="1"/>
  <c r="C461" i="15" s="1"/>
  <c r="C462" i="15" s="1"/>
  <c r="C463" i="15" s="1"/>
  <c r="C464" i="15" s="1"/>
  <c r="C465" i="15" s="1"/>
  <c r="C466" i="15" s="1"/>
  <c r="C467" i="15" s="1"/>
  <c r="C468" i="15" s="1"/>
  <c r="C469" i="15" s="1"/>
  <c r="C470" i="15" s="1"/>
  <c r="C471" i="15" s="1"/>
  <c r="C472" i="15" s="1"/>
  <c r="C473" i="15" s="1"/>
  <c r="C474" i="15" s="1"/>
  <c r="C475" i="15" s="1"/>
  <c r="C476" i="15" s="1"/>
  <c r="C347" i="15"/>
  <c r="C348" i="15" s="1"/>
  <c r="C349" i="15" s="1"/>
  <c r="C350" i="15" s="1"/>
  <c r="C351" i="15" s="1"/>
  <c r="C352" i="15" s="1"/>
  <c r="C353" i="15" s="1"/>
  <c r="C354" i="15" s="1"/>
  <c r="C355" i="15" s="1"/>
  <c r="C356" i="15" s="1"/>
  <c r="C357" i="15" s="1"/>
  <c r="C358" i="15" s="1"/>
  <c r="C359" i="15" s="1"/>
  <c r="C360" i="15" s="1"/>
  <c r="C361" i="15" s="1"/>
  <c r="C362" i="15" s="1"/>
  <c r="C363" i="15" s="1"/>
  <c r="C364" i="15" s="1"/>
  <c r="C365" i="15" s="1"/>
  <c r="C316" i="15"/>
  <c r="C317" i="15" s="1"/>
  <c r="C318" i="15" s="1"/>
  <c r="C319" i="15" s="1"/>
  <c r="C320" i="15" s="1"/>
  <c r="C321" i="15" s="1"/>
  <c r="C322" i="15" s="1"/>
  <c r="C323" i="15" s="1"/>
  <c r="C324" i="15" s="1"/>
  <c r="C325" i="15" s="1"/>
  <c r="C326" i="15" s="1"/>
  <c r="C327" i="15" s="1"/>
  <c r="C328" i="15" s="1"/>
  <c r="C329" i="15" s="1"/>
  <c r="C330" i="15" s="1"/>
  <c r="C331" i="15" s="1"/>
  <c r="C332" i="15" s="1"/>
  <c r="C333" i="15" s="1"/>
  <c r="C334" i="15" s="1"/>
  <c r="C335" i="15" s="1"/>
  <c r="C336" i="15" s="1"/>
  <c r="C337" i="15" s="1"/>
  <c r="C338" i="15" s="1"/>
  <c r="C339" i="15" s="1"/>
  <c r="C340" i="15" s="1"/>
  <c r="C341" i="15" s="1"/>
  <c r="C342" i="15" s="1"/>
  <c r="C343" i="15" s="1"/>
  <c r="C344" i="15" s="1"/>
  <c r="C285" i="15"/>
  <c r="C286" i="15" s="1"/>
  <c r="C287" i="15" s="1"/>
  <c r="C288" i="15" s="1"/>
  <c r="C289" i="15" s="1"/>
  <c r="C290" i="15" s="1"/>
  <c r="C291" i="15" s="1"/>
  <c r="C292" i="15" s="1"/>
  <c r="C293" i="15" s="1"/>
  <c r="C294" i="15" s="1"/>
  <c r="C295" i="15" s="1"/>
  <c r="C296" i="15" s="1"/>
  <c r="C297" i="15" s="1"/>
  <c r="C298" i="15" s="1"/>
  <c r="C299" i="15" s="1"/>
  <c r="C300" i="15" s="1"/>
  <c r="C301" i="15" s="1"/>
  <c r="C302" i="15" s="1"/>
  <c r="C303" i="15" s="1"/>
  <c r="C304" i="15" s="1"/>
  <c r="C305" i="15" s="1"/>
  <c r="C306" i="15" s="1"/>
  <c r="C307" i="15" s="1"/>
  <c r="C308" i="15" s="1"/>
  <c r="C309" i="15" s="1"/>
  <c r="C310" i="15" s="1"/>
  <c r="C311" i="15" s="1"/>
  <c r="C312" i="15" s="1"/>
  <c r="C313" i="15" s="1"/>
  <c r="C254" i="15"/>
  <c r="C255" i="15" s="1"/>
  <c r="C256" i="15" s="1"/>
  <c r="C257" i="15" s="1"/>
  <c r="C258" i="15" s="1"/>
  <c r="C259" i="15" s="1"/>
  <c r="C260" i="15" s="1"/>
  <c r="C261" i="15" s="1"/>
  <c r="C262" i="15" s="1"/>
  <c r="C263" i="15" s="1"/>
  <c r="C264" i="15" s="1"/>
  <c r="C265" i="15" s="1"/>
  <c r="C266" i="15" s="1"/>
  <c r="C267" i="15" s="1"/>
  <c r="C268" i="15" s="1"/>
  <c r="C269" i="15" s="1"/>
  <c r="C270" i="15" s="1"/>
  <c r="C271" i="15" s="1"/>
  <c r="C272" i="15" s="1"/>
  <c r="C273" i="15" s="1"/>
  <c r="C274" i="15" s="1"/>
  <c r="C275" i="15" s="1"/>
  <c r="C276" i="15" s="1"/>
  <c r="C277" i="15" s="1"/>
  <c r="C278" i="15" s="1"/>
  <c r="C279" i="15" s="1"/>
  <c r="C280" i="15" s="1"/>
  <c r="C281" i="15" s="1"/>
  <c r="C282" i="15" s="1"/>
  <c r="C223" i="15"/>
  <c r="C224" i="15" s="1"/>
  <c r="C225" i="15" s="1"/>
  <c r="C226" i="15" s="1"/>
  <c r="C227" i="15" s="1"/>
  <c r="C228" i="15" s="1"/>
  <c r="C229" i="15" s="1"/>
  <c r="C230" i="15" s="1"/>
  <c r="C231" i="15" s="1"/>
  <c r="C232" i="15" s="1"/>
  <c r="C233" i="15" s="1"/>
  <c r="C234" i="15" s="1"/>
  <c r="C235" i="15" s="1"/>
  <c r="C236" i="15" s="1"/>
  <c r="C237" i="15" s="1"/>
  <c r="C238" i="15" s="1"/>
  <c r="C239" i="15" s="1"/>
  <c r="C240" i="15" s="1"/>
  <c r="C241" i="15" s="1"/>
  <c r="C242" i="15" s="1"/>
  <c r="C243" i="15" s="1"/>
  <c r="C244" i="15" s="1"/>
  <c r="C245" i="15" s="1"/>
  <c r="C246" i="15" s="1"/>
  <c r="C247" i="15" s="1"/>
  <c r="C248" i="15" s="1"/>
  <c r="C249" i="15" s="1"/>
  <c r="C250" i="15" s="1"/>
  <c r="C251" i="15" s="1"/>
  <c r="C162" i="15"/>
  <c r="C163" i="15" s="1"/>
  <c r="C164" i="15" s="1"/>
  <c r="C165" i="15" s="1"/>
  <c r="C166" i="15" s="1"/>
  <c r="C167" i="15" s="1"/>
  <c r="C168" i="15" s="1"/>
  <c r="C169" i="15" s="1"/>
  <c r="C170" i="15" s="1"/>
  <c r="C171" i="15" s="1"/>
  <c r="C172" i="15" s="1"/>
  <c r="C173" i="15" s="1"/>
  <c r="C174" i="15" s="1"/>
  <c r="C175" i="15" s="1"/>
  <c r="C176" i="15" s="1"/>
  <c r="C177" i="15" s="1"/>
  <c r="C178" i="15" s="1"/>
  <c r="C179" i="15" s="1"/>
  <c r="C180" i="15" s="1"/>
  <c r="C181" i="15" s="1"/>
  <c r="C131" i="15"/>
  <c r="C132" i="15" s="1"/>
  <c r="C133" i="15" s="1"/>
  <c r="C134" i="15" s="1"/>
  <c r="C135" i="15" s="1"/>
  <c r="C136" i="15" s="1"/>
  <c r="C137" i="15" s="1"/>
  <c r="C138" i="15" s="1"/>
  <c r="C139" i="15" s="1"/>
  <c r="C140" i="15" s="1"/>
  <c r="C141" i="15" s="1"/>
  <c r="C142" i="15" s="1"/>
  <c r="C143" i="15" s="1"/>
  <c r="C144" i="15" s="1"/>
  <c r="C145" i="15" s="1"/>
  <c r="C146" i="15" s="1"/>
  <c r="C147" i="15" s="1"/>
  <c r="C148" i="15" s="1"/>
  <c r="C149" i="15" s="1"/>
  <c r="C150" i="15" s="1"/>
  <c r="C151" i="15" s="1"/>
  <c r="C152" i="15" s="1"/>
  <c r="C153" i="15" s="1"/>
  <c r="C154" i="15" s="1"/>
  <c r="C155" i="15" s="1"/>
  <c r="C156" i="15" s="1"/>
  <c r="C157" i="15" s="1"/>
  <c r="C158" i="15" s="1"/>
  <c r="C159" i="15" s="1"/>
  <c r="C100" i="15"/>
  <c r="C101" i="15" s="1"/>
  <c r="C102" i="15" s="1"/>
  <c r="C103" i="15" s="1"/>
  <c r="C104" i="15" s="1"/>
  <c r="C105" i="15" s="1"/>
  <c r="C106" i="15" s="1"/>
  <c r="C107" i="15" s="1"/>
  <c r="C108" i="15" s="1"/>
  <c r="C109" i="15" s="1"/>
  <c r="C110" i="15" s="1"/>
  <c r="C111" i="15" s="1"/>
  <c r="C112" i="15" s="1"/>
  <c r="C113" i="15" s="1"/>
  <c r="C114" i="15" s="1"/>
  <c r="C115" i="15" s="1"/>
  <c r="C116" i="15" s="1"/>
  <c r="C117" i="15" s="1"/>
  <c r="C118" i="15" s="1"/>
  <c r="C119" i="15" s="1"/>
  <c r="C120" i="15" s="1"/>
  <c r="C121" i="15" s="1"/>
  <c r="C122" i="15" s="1"/>
  <c r="C123" i="15" s="1"/>
  <c r="C124" i="15" s="1"/>
  <c r="C125" i="15" s="1"/>
  <c r="C126" i="15" s="1"/>
  <c r="C127" i="15" s="1"/>
  <c r="C128" i="15" s="1"/>
  <c r="C69" i="15"/>
  <c r="C70" i="15" s="1"/>
  <c r="C71" i="15" s="1"/>
  <c r="C72" i="15" s="1"/>
  <c r="C73" i="15" s="1"/>
  <c r="C74" i="15" s="1"/>
  <c r="C75" i="15" s="1"/>
  <c r="C76" i="15" s="1"/>
  <c r="C77" i="15" s="1"/>
  <c r="C78" i="15" s="1"/>
  <c r="C79" i="15" s="1"/>
  <c r="C80" i="15" s="1"/>
  <c r="C81" i="15" s="1"/>
  <c r="C82" i="15" s="1"/>
  <c r="C83" i="15" s="1"/>
  <c r="C84" i="15" s="1"/>
  <c r="C85" i="15" s="1"/>
  <c r="C86" i="15" s="1"/>
  <c r="C87" i="15" s="1"/>
  <c r="C88" i="15" s="1"/>
  <c r="C89" i="15" s="1"/>
  <c r="C90" i="15" s="1"/>
  <c r="C91" i="15" s="1"/>
  <c r="C92" i="15" s="1"/>
  <c r="C93" i="15" s="1"/>
  <c r="C94" i="15" s="1"/>
  <c r="C95" i="15" s="1"/>
  <c r="C96" i="15" s="1"/>
  <c r="C97" i="15" s="1"/>
  <c r="C8" i="15"/>
  <c r="C9" i="15" s="1"/>
  <c r="C10" i="15" s="1"/>
  <c r="C11" i="15" s="1"/>
  <c r="C12" i="15" s="1"/>
  <c r="C13" i="15" s="1"/>
  <c r="C14" i="15" s="1"/>
  <c r="C15" i="15" s="1"/>
  <c r="C16" i="15" s="1"/>
  <c r="C17" i="15" s="1"/>
  <c r="C18" i="15" s="1"/>
  <c r="C19" i="15" s="1"/>
  <c r="C20" i="15" s="1"/>
  <c r="C21" i="15" s="1"/>
  <c r="C22" i="15" s="1"/>
  <c r="C23" i="15" s="1"/>
  <c r="C24" i="15" s="1"/>
  <c r="C25" i="15" s="1"/>
  <c r="C26" i="15" s="1"/>
  <c r="C366" i="15" l="1"/>
  <c r="C367" i="15" s="1"/>
  <c r="C368" i="15" s="1"/>
  <c r="C369" i="15" s="1"/>
  <c r="C370" i="15" s="1"/>
  <c r="C371" i="15" s="1"/>
  <c r="C372" i="15" s="1"/>
  <c r="C373" i="15" s="1"/>
  <c r="C374" i="15" s="1"/>
  <c r="C375" i="15" s="1"/>
  <c r="C376" i="15" s="1"/>
  <c r="C377" i="15" s="1"/>
  <c r="C378" i="15" s="1"/>
  <c r="C379" i="15" s="1"/>
  <c r="C380" i="15" s="1"/>
  <c r="C381" i="15" s="1"/>
  <c r="C382" i="15" s="1"/>
  <c r="C383" i="15" s="1"/>
  <c r="C384" i="15" s="1"/>
  <c r="C385" i="15" s="1"/>
  <c r="C386" i="15" s="1"/>
  <c r="C387" i="15" s="1"/>
  <c r="C388" i="15" s="1"/>
  <c r="C389" i="15" s="1"/>
  <c r="C390" i="15" s="1"/>
  <c r="C391" i="15" s="1"/>
  <c r="C392" i="15" s="1"/>
  <c r="C393" i="15" s="1"/>
  <c r="C394" i="15" s="1"/>
  <c r="C395" i="15" s="1"/>
  <c r="C396" i="15" s="1"/>
  <c r="C397" i="15" s="1"/>
  <c r="C398" i="15" s="1"/>
  <c r="C399" i="15" s="1"/>
  <c r="C400" i="15" s="1"/>
  <c r="C401" i="15" s="1"/>
  <c r="C402" i="15" s="1"/>
  <c r="C403" i="15" s="1"/>
  <c r="C404" i="15" s="1"/>
  <c r="C405" i="15" s="1"/>
  <c r="C406" i="15" s="1"/>
  <c r="C407" i="15" s="1"/>
  <c r="C408" i="15" s="1"/>
  <c r="C409" i="15" s="1"/>
  <c r="C410" i="15" s="1"/>
  <c r="C411" i="15" s="1"/>
  <c r="C412" i="15" s="1"/>
  <c r="C413" i="15" s="1"/>
  <c r="C414" i="15" s="1"/>
  <c r="C415" i="15" s="1"/>
  <c r="C182" i="15"/>
  <c r="C183" i="15" s="1"/>
  <c r="C184" i="15" s="1"/>
  <c r="C185" i="15" s="1"/>
  <c r="C186" i="15" s="1"/>
  <c r="C187" i="15" s="1"/>
  <c r="C188" i="15" s="1"/>
  <c r="C189" i="15" s="1"/>
  <c r="C190" i="15" s="1"/>
  <c r="C191" i="15" s="1"/>
  <c r="C192" i="15" s="1"/>
  <c r="C193" i="15" s="1"/>
  <c r="C194" i="15" s="1"/>
  <c r="C195" i="15" s="1"/>
  <c r="C196" i="15" s="1"/>
  <c r="C197" i="15" s="1"/>
  <c r="C198" i="15" s="1"/>
  <c r="C199" i="15" s="1"/>
  <c r="C200" i="15" s="1"/>
  <c r="C201" i="15" s="1"/>
  <c r="C202" i="15" s="1"/>
  <c r="C203" i="15" s="1"/>
  <c r="C204" i="15" s="1"/>
  <c r="C205" i="15" s="1"/>
  <c r="C206" i="15" s="1"/>
  <c r="C27" i="15"/>
  <c r="C28" i="15" s="1"/>
  <c r="C29" i="15" s="1"/>
  <c r="C30" i="15" s="1"/>
  <c r="C31" i="15" s="1"/>
  <c r="C32" i="15" s="1"/>
  <c r="C33" i="15" s="1"/>
  <c r="C34" i="15" s="1"/>
  <c r="C35" i="15" s="1"/>
  <c r="C36" i="15" s="1"/>
  <c r="C37" i="15" s="1"/>
  <c r="C38" i="15" s="1"/>
  <c r="C39" i="15" s="1"/>
  <c r="C40" i="15" s="1"/>
  <c r="C41" i="15" s="1"/>
  <c r="C42" i="15" s="1"/>
  <c r="C43" i="15" s="1"/>
  <c r="C44" i="15" s="1"/>
  <c r="C45" i="15" s="1"/>
  <c r="C46" i="15" s="1"/>
  <c r="C47" i="15" s="1"/>
  <c r="C48" i="15" s="1"/>
  <c r="C49" i="15" s="1"/>
  <c r="C50" i="15" s="1"/>
  <c r="C51" i="15" s="1"/>
  <c r="C52" i="15" s="1"/>
  <c r="C53" i="15" s="1"/>
  <c r="C54" i="15" s="1"/>
  <c r="C55" i="15" s="1"/>
  <c r="C56" i="15" s="1"/>
  <c r="C57" i="15" s="1"/>
  <c r="C58" i="15" s="1"/>
  <c r="C59" i="15" s="1"/>
  <c r="C60" i="15" s="1"/>
  <c r="C61" i="15" s="1"/>
  <c r="C62" i="15" s="1"/>
  <c r="C63" i="15" s="1"/>
  <c r="C64" i="15" s="1"/>
  <c r="C65" i="15" s="1"/>
  <c r="C66" i="15" s="1"/>
  <c r="C416" i="15" l="1"/>
  <c r="C417" i="15" s="1"/>
  <c r="C418" i="15" s="1"/>
  <c r="C419" i="15" s="1"/>
  <c r="C420" i="15" s="1"/>
  <c r="C421" i="15" s="1"/>
  <c r="C422" i="15" s="1"/>
  <c r="C423" i="15" s="1"/>
  <c r="C424" i="15" s="1"/>
  <c r="C425" i="15" s="1"/>
  <c r="C426" i="15" s="1"/>
  <c r="C427" i="15" s="1"/>
  <c r="C428" i="15" s="1"/>
  <c r="C429" i="15" s="1"/>
  <c r="C430" i="15" s="1"/>
  <c r="C431" i="15" s="1"/>
  <c r="C432" i="15" s="1"/>
  <c r="C433" i="15" s="1"/>
  <c r="C434" i="15" s="1"/>
  <c r="C435" i="15" s="1"/>
  <c r="C436" i="15" s="1"/>
  <c r="C437" i="15" s="1"/>
  <c r="C438" i="15" s="1"/>
  <c r="C439" i="15" s="1"/>
  <c r="C440" i="15" s="1"/>
  <c r="C441" i="15" s="1"/>
  <c r="C442" i="15" s="1"/>
  <c r="C443" i="15" s="1"/>
  <c r="C444" i="15" s="1"/>
  <c r="C445" i="15" s="1"/>
  <c r="C207" i="15"/>
  <c r="C208" i="15" s="1"/>
  <c r="C209" i="15" s="1"/>
  <c r="C210" i="15" s="1"/>
  <c r="C211" i="15" s="1"/>
  <c r="C212" i="15" s="1"/>
  <c r="H452" i="15"/>
  <c r="H451" i="15"/>
  <c r="H450" i="15"/>
  <c r="H449" i="15"/>
  <c r="H448" i="15"/>
  <c r="H462" i="15"/>
  <c r="H461" i="15"/>
  <c r="H460" i="15"/>
  <c r="H459" i="15"/>
  <c r="H458" i="15"/>
  <c r="H457" i="15"/>
  <c r="H456" i="15"/>
  <c r="H455" i="15"/>
  <c r="H454" i="15"/>
  <c r="H453" i="15"/>
  <c r="H467" i="15"/>
  <c r="H466" i="15"/>
  <c r="H465" i="15"/>
  <c r="H464" i="15"/>
  <c r="H463" i="15"/>
  <c r="H356" i="15"/>
  <c r="H355" i="15"/>
  <c r="H354" i="15"/>
  <c r="H353" i="15"/>
  <c r="H352" i="15"/>
  <c r="H351" i="15"/>
  <c r="H350" i="15"/>
  <c r="H349" i="15"/>
  <c r="H348" i="15"/>
  <c r="H347" i="15"/>
  <c r="H361" i="15"/>
  <c r="H360" i="15"/>
  <c r="H359" i="15"/>
  <c r="H358" i="15"/>
  <c r="H357" i="15"/>
  <c r="H365" i="15"/>
  <c r="H364" i="15"/>
  <c r="H363" i="15"/>
  <c r="H362" i="15"/>
  <c r="H325" i="15"/>
  <c r="H324" i="15"/>
  <c r="H323" i="15"/>
  <c r="H322" i="15"/>
  <c r="H321" i="15"/>
  <c r="H320" i="15"/>
  <c r="H319" i="15"/>
  <c r="H318" i="15"/>
  <c r="H317" i="15"/>
  <c r="H316" i="15"/>
  <c r="H330" i="15"/>
  <c r="H329" i="15"/>
  <c r="H328" i="15"/>
  <c r="H327" i="15"/>
  <c r="H326" i="15"/>
  <c r="H335" i="15"/>
  <c r="H334" i="15"/>
  <c r="H333" i="15"/>
  <c r="H332" i="15"/>
  <c r="H331" i="15"/>
  <c r="H294" i="15"/>
  <c r="H293" i="15"/>
  <c r="H292" i="15"/>
  <c r="H291" i="15"/>
  <c r="H290" i="15"/>
  <c r="H289" i="15"/>
  <c r="H288" i="15"/>
  <c r="H299" i="15"/>
  <c r="H298" i="15"/>
  <c r="H297" i="15"/>
  <c r="H296" i="15"/>
  <c r="H295" i="15"/>
  <c r="H304" i="15"/>
  <c r="H303" i="15"/>
  <c r="H302" i="15"/>
  <c r="H301" i="15"/>
  <c r="H300" i="15"/>
  <c r="H263" i="15"/>
  <c r="H262" i="15"/>
  <c r="H261" i="15"/>
  <c r="H260" i="15"/>
  <c r="H259" i="15"/>
  <c r="H258" i="15"/>
  <c r="H257" i="15"/>
  <c r="H256" i="15"/>
  <c r="H255" i="15"/>
  <c r="H254" i="15"/>
  <c r="H264" i="15"/>
  <c r="H265" i="15"/>
  <c r="H266" i="15"/>
  <c r="H267" i="15"/>
  <c r="H268" i="15"/>
  <c r="H269" i="15"/>
  <c r="H270" i="15"/>
  <c r="H271" i="15"/>
  <c r="H272" i="15"/>
  <c r="H273" i="15"/>
  <c r="H278" i="15"/>
  <c r="H277" i="15"/>
  <c r="H276" i="15"/>
  <c r="H275" i="15"/>
  <c r="H274" i="15"/>
  <c r="H232" i="15"/>
  <c r="H231" i="15"/>
  <c r="H230" i="15"/>
  <c r="H229" i="15"/>
  <c r="H228" i="15"/>
  <c r="H227" i="15"/>
  <c r="H226" i="15"/>
  <c r="H225" i="15"/>
  <c r="H224" i="15"/>
  <c r="H223" i="15"/>
  <c r="H237" i="15"/>
  <c r="H236" i="15"/>
  <c r="H235" i="15"/>
  <c r="H234" i="15"/>
  <c r="H233" i="15"/>
  <c r="H242" i="15"/>
  <c r="H241" i="15"/>
  <c r="H240" i="15"/>
  <c r="H239" i="15"/>
  <c r="H238" i="15"/>
  <c r="H172" i="15"/>
  <c r="H171" i="15"/>
  <c r="H170" i="15"/>
  <c r="H169" i="15"/>
  <c r="H168" i="15"/>
  <c r="H167" i="15"/>
  <c r="H166" i="15"/>
  <c r="H165" i="15"/>
  <c r="H177" i="15"/>
  <c r="H176" i="15"/>
  <c r="H175" i="15"/>
  <c r="H174" i="15"/>
  <c r="H173" i="15"/>
  <c r="H181" i="15"/>
  <c r="H180" i="15"/>
  <c r="H179" i="15"/>
  <c r="H178" i="15"/>
  <c r="H140" i="15"/>
  <c r="H139" i="15"/>
  <c r="H138" i="15"/>
  <c r="H137" i="15"/>
  <c r="H136" i="15"/>
  <c r="H135" i="15"/>
  <c r="H134" i="15"/>
  <c r="H133" i="15"/>
  <c r="H132" i="15"/>
  <c r="H131" i="15"/>
  <c r="H145" i="15"/>
  <c r="H144" i="15"/>
  <c r="H143" i="15"/>
  <c r="H142" i="15"/>
  <c r="H141" i="15"/>
  <c r="H150" i="15"/>
  <c r="H149" i="15"/>
  <c r="H148" i="15"/>
  <c r="H147" i="15"/>
  <c r="H146" i="15"/>
  <c r="H109" i="15"/>
  <c r="H108" i="15"/>
  <c r="H107" i="15"/>
  <c r="H106" i="15"/>
  <c r="H105" i="15"/>
  <c r="H104" i="15"/>
  <c r="H103" i="15"/>
  <c r="H102" i="15"/>
  <c r="H101" i="15"/>
  <c r="H119" i="15"/>
  <c r="H118" i="15"/>
  <c r="H117" i="15"/>
  <c r="H116" i="15"/>
  <c r="H115" i="15"/>
  <c r="H124" i="15"/>
  <c r="H123" i="15"/>
  <c r="H122" i="15"/>
  <c r="H121" i="15"/>
  <c r="H120" i="15"/>
  <c r="H92" i="15"/>
  <c r="H91" i="15"/>
  <c r="H90" i="15"/>
  <c r="H89" i="15"/>
  <c r="H88" i="15"/>
  <c r="H94" i="15"/>
  <c r="H93" i="15"/>
  <c r="H87" i="15"/>
  <c r="H86" i="15"/>
  <c r="H85" i="15"/>
  <c r="H84" i="15"/>
  <c r="H83" i="15"/>
  <c r="H82" i="15"/>
  <c r="H81" i="15"/>
  <c r="H80" i="15"/>
  <c r="H78" i="15"/>
  <c r="H77" i="15"/>
  <c r="H76" i="15"/>
  <c r="H75" i="15"/>
  <c r="H74" i="15"/>
  <c r="H26" i="15"/>
  <c r="H25" i="15"/>
  <c r="H24" i="15"/>
  <c r="H23" i="15"/>
  <c r="H22" i="15"/>
  <c r="H21" i="15"/>
  <c r="H20" i="15"/>
  <c r="H19" i="15"/>
  <c r="H18" i="15"/>
  <c r="H65" i="15"/>
  <c r="H64" i="15"/>
  <c r="H63" i="15"/>
  <c r="H62" i="15"/>
  <c r="H61" i="15"/>
  <c r="H60" i="15"/>
  <c r="H59" i="15"/>
  <c r="H58" i="15"/>
  <c r="H17" i="15"/>
  <c r="H16" i="15"/>
  <c r="G5" i="16"/>
  <c r="E58" i="16"/>
  <c r="C213" i="15" l="1"/>
  <c r="C214" i="15" s="1"/>
  <c r="C215" i="15" s="1"/>
  <c r="C216" i="15" s="1"/>
  <c r="C217" i="15" s="1"/>
  <c r="C218" i="15" s="1"/>
  <c r="C219" i="15" s="1"/>
  <c r="C220" i="15" s="1"/>
  <c r="H13" i="15" l="1"/>
  <c r="O2" i="15"/>
  <c r="H476" i="15" l="1"/>
  <c r="H475" i="15"/>
  <c r="H474" i="15"/>
  <c r="H473" i="15"/>
  <c r="H472" i="15"/>
  <c r="H471" i="15"/>
  <c r="H470" i="15"/>
  <c r="H469" i="15"/>
  <c r="H468" i="15"/>
  <c r="H447" i="15"/>
  <c r="H445" i="15"/>
  <c r="H444" i="15"/>
  <c r="H443" i="15"/>
  <c r="H442" i="15"/>
  <c r="H441" i="15"/>
  <c r="H440" i="15"/>
  <c r="H439" i="15"/>
  <c r="H438" i="15"/>
  <c r="H437" i="15"/>
  <c r="H344" i="15"/>
  <c r="H343" i="15"/>
  <c r="H342" i="15"/>
  <c r="H341" i="15"/>
  <c r="H340" i="15"/>
  <c r="H339" i="15"/>
  <c r="H338" i="15"/>
  <c r="H337" i="15"/>
  <c r="H336" i="15"/>
  <c r="H313" i="15"/>
  <c r="H312" i="15"/>
  <c r="H311" i="15"/>
  <c r="H310" i="15"/>
  <c r="H309" i="15"/>
  <c r="H308" i="15"/>
  <c r="H307" i="15"/>
  <c r="H306" i="15"/>
  <c r="H305" i="15"/>
  <c r="H282" i="15"/>
  <c r="H281" i="15"/>
  <c r="H280" i="15"/>
  <c r="H279" i="15"/>
  <c r="H251" i="15"/>
  <c r="H250" i="15"/>
  <c r="H249" i="15"/>
  <c r="H248" i="15"/>
  <c r="H247" i="15"/>
  <c r="H246" i="15"/>
  <c r="H245" i="15"/>
  <c r="H244" i="15"/>
  <c r="H243" i="15"/>
  <c r="H220" i="15"/>
  <c r="H219" i="15"/>
  <c r="H218" i="15"/>
  <c r="H217" i="15"/>
  <c r="H216" i="15"/>
  <c r="H215" i="15"/>
  <c r="H214" i="15"/>
  <c r="H159" i="15"/>
  <c r="H158" i="15"/>
  <c r="H157" i="15"/>
  <c r="H156" i="15"/>
  <c r="H155" i="15"/>
  <c r="H154" i="15"/>
  <c r="H153" i="15"/>
  <c r="H152" i="15"/>
  <c r="H151" i="15"/>
  <c r="H128" i="15"/>
  <c r="H127" i="15"/>
  <c r="H126" i="15"/>
  <c r="H125" i="15"/>
  <c r="H114" i="15"/>
  <c r="H113" i="15"/>
  <c r="H112" i="15"/>
  <c r="H111" i="15"/>
  <c r="H110" i="15"/>
  <c r="H97" i="15"/>
  <c r="H96" i="15"/>
  <c r="H95" i="15"/>
  <c r="H79" i="15"/>
  <c r="H73" i="15"/>
  <c r="H72" i="15"/>
  <c r="H71" i="15"/>
  <c r="H70" i="15"/>
  <c r="H69" i="15"/>
  <c r="H66" i="15"/>
  <c r="H15" i="15"/>
  <c r="H14" i="15"/>
  <c r="H12" i="15"/>
  <c r="H11" i="15"/>
  <c r="H10" i="15"/>
  <c r="H9" i="15"/>
  <c r="H8" i="15"/>
  <c r="H446" i="15" l="1"/>
  <c r="E35" i="16" s="1"/>
  <c r="F35" i="16" s="1"/>
  <c r="H252" i="15"/>
  <c r="H129" i="15"/>
  <c r="E28" i="16" s="1"/>
  <c r="F28" i="16" s="1"/>
  <c r="I28" i="16" s="1"/>
  <c r="H160" i="15"/>
  <c r="E29" i="16" s="1"/>
  <c r="F29" i="16" s="1"/>
  <c r="G29" i="16" s="1"/>
  <c r="H283" i="15"/>
  <c r="E32" i="16" s="1"/>
  <c r="F32" i="16" s="1"/>
  <c r="H98" i="15"/>
  <c r="E27" i="16" s="1"/>
  <c r="F27" i="16" s="1"/>
  <c r="H67" i="15"/>
  <c r="E26" i="16" s="1"/>
  <c r="F26" i="16" s="1"/>
  <c r="H477" i="15"/>
  <c r="E36" i="16" s="1"/>
  <c r="H36" i="16" s="1"/>
  <c r="H345" i="15"/>
  <c r="E34" i="16" s="1"/>
  <c r="F34" i="16" s="1"/>
  <c r="H314" i="15"/>
  <c r="E33" i="16" s="1"/>
  <c r="F33" i="16" s="1"/>
  <c r="G33" i="16" s="1"/>
  <c r="H221" i="15"/>
  <c r="E30" i="16" s="1"/>
  <c r="F30" i="16" s="1"/>
  <c r="G30" i="16" s="1"/>
  <c r="K30" i="16" l="1"/>
  <c r="G35" i="16" s="1"/>
  <c r="G28" i="16"/>
  <c r="H28" i="16" s="1"/>
  <c r="E31" i="16"/>
  <c r="F31" i="16" s="1"/>
  <c r="I25" i="16" s="1"/>
  <c r="G26" i="16"/>
  <c r="I26" i="16"/>
  <c r="H29" i="16"/>
  <c r="I29" i="16"/>
  <c r="G34" i="16"/>
  <c r="I34" i="16"/>
  <c r="H30" i="16"/>
  <c r="I30" i="16"/>
  <c r="H33" i="16"/>
  <c r="I33" i="16"/>
  <c r="H34" i="16" l="1"/>
  <c r="H26" i="16"/>
  <c r="E37" i="16"/>
  <c r="G31" i="16"/>
  <c r="I31" i="16"/>
  <c r="G32" i="16"/>
  <c r="H32" i="16" s="1"/>
  <c r="I32" i="16"/>
  <c r="G27" i="16"/>
  <c r="H27" i="16" s="1"/>
  <c r="I27" i="16"/>
  <c r="F37" i="16"/>
  <c r="K26" i="16"/>
  <c r="K28" i="16" s="1"/>
  <c r="H35" i="16"/>
  <c r="K39" i="16" l="1"/>
  <c r="H31" i="16"/>
  <c r="H37" i="16" s="1"/>
  <c r="K41" i="16"/>
  <c r="I37" i="16"/>
  <c r="K37" i="16"/>
  <c r="G37" i="16"/>
  <c r="K32" i="16"/>
  <c r="I35" i="16"/>
  <c r="K57" i="16" l="1"/>
  <c r="E47" i="16"/>
  <c r="N34" i="16"/>
  <c r="N35" i="16"/>
  <c r="N28" i="16"/>
  <c r="N30" i="16"/>
  <c r="N31" i="16"/>
  <c r="N27" i="16"/>
  <c r="N33" i="16"/>
  <c r="N32" i="16"/>
  <c r="N26" i="16"/>
  <c r="N29" i="16"/>
  <c r="E51" i="16" l="1"/>
  <c r="K50" i="16"/>
  <c r="N36"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25" authorId="0" shapeId="0" xr:uid="{91F247B2-5700-42FB-81BA-2AA3C13F6E13}">
      <text>
        <r>
          <rPr>
            <sz val="11"/>
            <color indexed="81"/>
            <rFont val="MS P ゴシック"/>
            <family val="3"/>
            <charset val="128"/>
          </rPr>
          <t xml:space="preserve">補助事業全体にかかる経費を記載ください。
</t>
        </r>
        <r>
          <rPr>
            <b/>
            <sz val="11"/>
            <color indexed="81"/>
            <rFont val="MS P ゴシック"/>
            <family val="3"/>
            <charset val="128"/>
          </rPr>
          <t xml:space="preserve">
※補助事業に要する経費は（別添）積算明細書の各費目の合計値より自動反映されます。</t>
        </r>
      </text>
    </comment>
    <comment ref="F25" authorId="0" shapeId="0" xr:uid="{B58739F7-C56A-4B72-AD79-C0FFBEB7DB7B}">
      <text>
        <r>
          <rPr>
            <sz val="9"/>
            <color indexed="81"/>
            <rFont val="MS P ゴシック"/>
            <family val="3"/>
            <charset val="128"/>
          </rPr>
          <t xml:space="preserve">補助事業に要する経費のうち補助対象となる経費
</t>
        </r>
        <r>
          <rPr>
            <b/>
            <sz val="11"/>
            <color indexed="81"/>
            <rFont val="MS P ゴシック"/>
            <family val="3"/>
            <charset val="128"/>
          </rPr>
          <t>※補助事業に要する経費から自動で反映されます。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5" authorId="0" shapeId="0" xr:uid="{B781411F-DE6D-42BB-B996-678833267D60}">
      <text>
        <r>
          <rPr>
            <b/>
            <sz val="9"/>
            <color indexed="81"/>
            <rFont val="Meiryo UI"/>
            <family val="3"/>
            <charset val="128"/>
          </rPr>
          <t xml:space="preserve">イベント名：
</t>
        </r>
        <r>
          <rPr>
            <sz val="9"/>
            <color indexed="81"/>
            <rFont val="Meiryo UI"/>
            <family val="3"/>
            <charset val="128"/>
          </rPr>
          <t>特定の目的やテーマにもとづいて企画される行事や催し物（展示会、催事、販売拠点など）のイベントを記載する。</t>
        </r>
        <r>
          <rPr>
            <b/>
            <sz val="9"/>
            <color indexed="81"/>
            <rFont val="MS P ゴシック"/>
            <family val="3"/>
            <charset val="128"/>
          </rPr>
          <t xml:space="preserve">
</t>
        </r>
      </text>
    </comment>
    <comment ref="P5" authorId="0" shapeId="0" xr:uid="{5F9480F3-605A-4342-805B-BF83246D2F58}">
      <text>
        <r>
          <rPr>
            <b/>
            <sz val="9"/>
            <color indexed="81"/>
            <rFont val="MS P ゴシック"/>
            <family val="3"/>
            <charset val="128"/>
          </rPr>
          <t>イベント開催予定月：</t>
        </r>
        <r>
          <rPr>
            <sz val="9"/>
            <color indexed="81"/>
            <rFont val="MS P ゴシック"/>
            <family val="3"/>
            <charset val="128"/>
          </rPr>
          <t xml:space="preserve">
イベントの開催予定月を記載する。</t>
        </r>
      </text>
    </comment>
    <comment ref="Q5" authorId="0" shapeId="0" xr:uid="{7AB47EF1-073E-42F0-A66E-9111A85B1B4D}">
      <text>
        <r>
          <rPr>
            <b/>
            <sz val="9"/>
            <color indexed="81"/>
            <rFont val="MS P ゴシック"/>
            <family val="3"/>
            <charset val="128"/>
          </rPr>
          <t>現時点で発注を予定している取引先候補</t>
        </r>
        <r>
          <rPr>
            <sz val="9"/>
            <color indexed="81"/>
            <rFont val="MS P ゴシック"/>
            <family val="3"/>
            <charset val="128"/>
          </rPr>
          <t xml:space="preserve">
現時点で発注を予定している取引先を記載する。
複数の見積を取得する場合、最も安価な取引先を選定し記載する。</t>
        </r>
      </text>
    </comment>
    <comment ref="E7" authorId="0" shapeId="0" xr:uid="{C77626D2-DE18-427D-A453-AAF7419E8FFA}">
      <text>
        <r>
          <rPr>
            <b/>
            <sz val="8"/>
            <color indexed="81"/>
            <rFont val="MS P ゴシック"/>
            <family val="3"/>
            <charset val="128"/>
          </rPr>
          <t>取組：</t>
        </r>
        <r>
          <rPr>
            <sz val="8"/>
            <color indexed="81"/>
            <rFont val="MS P ゴシック"/>
            <family val="3"/>
            <charset val="128"/>
          </rPr>
          <t xml:space="preserve">
応募申請時に選択した取組のなかで、該当する取組を選択する。複数の取組にまたがって発生する経費は、複数の取組を選択してください。</t>
        </r>
        <r>
          <rPr>
            <sz val="9"/>
            <color indexed="81"/>
            <rFont val="MS P ゴシック"/>
            <family val="3"/>
            <charset val="128"/>
          </rPr>
          <t xml:space="preserve">
</t>
        </r>
      </text>
    </comment>
    <comment ref="H7" authorId="0" shapeId="0" xr:uid="{A4174DED-FEAC-4CFD-92D5-B22A36C1BF1B}">
      <text>
        <r>
          <rPr>
            <b/>
            <sz val="9"/>
            <color indexed="81"/>
            <rFont val="MS P ゴシック"/>
            <family val="3"/>
            <charset val="128"/>
          </rPr>
          <t>計</t>
        </r>
        <r>
          <rPr>
            <sz val="9"/>
            <color indexed="81"/>
            <rFont val="MS P ゴシック"/>
            <family val="3"/>
            <charset val="128"/>
          </rPr>
          <t xml:space="preserve">：
以下の計算式により自動算出
計＝単価×数量×回数等
</t>
        </r>
      </text>
    </comment>
    <comment ref="I7" authorId="0" shapeId="0" xr:uid="{63E63F86-3D68-4A2F-B6AA-A78D71C2E11C}">
      <text>
        <r>
          <rPr>
            <b/>
            <sz val="9"/>
            <color indexed="81"/>
            <rFont val="MS P ゴシック"/>
            <family val="3"/>
            <charset val="128"/>
          </rPr>
          <t xml:space="preserve">経費区分「①謝金」の単価：
</t>
        </r>
        <r>
          <rPr>
            <sz val="9"/>
            <color indexed="81"/>
            <rFont val="MS P ゴシック"/>
            <family val="3"/>
            <charset val="128"/>
          </rPr>
          <t xml:space="preserve">「別添１：謝金及び雑役務費の単価について」が上限
</t>
        </r>
      </text>
    </comment>
    <comment ref="N7" authorId="0" shapeId="0" xr:uid="{878A82A5-AF95-4FB7-830F-EE631A07FF36}">
      <text>
        <r>
          <rPr>
            <sz val="10"/>
            <color indexed="81"/>
            <rFont val="Meiryo UI"/>
            <family val="3"/>
            <charset val="128"/>
          </rPr>
          <t>経費区分「①謝金」の内訳の内容：
謝金の単価(上限)の根拠として別添1の「分野別職位等」を記載する。</t>
        </r>
        <r>
          <rPr>
            <sz val="10"/>
            <color indexed="81"/>
            <rFont val="MS P ゴシック"/>
            <family val="3"/>
            <charset val="128"/>
          </rPr>
          <t xml:space="preserve">
</t>
        </r>
      </text>
    </comment>
    <comment ref="N68" authorId="0" shapeId="0" xr:uid="{C46A26F7-AFED-4859-8EEC-C82D1C5D85DA}">
      <text>
        <r>
          <rPr>
            <sz val="9"/>
            <color indexed="81"/>
            <rFont val="Meiryo UI"/>
            <family val="3"/>
            <charset val="128"/>
          </rPr>
          <t>③地域振興等機関旅費 および ④参画事業者旅費は「別添3：旅費の支給基準について」に基づき経費を算出すること。
（記載例）
飛行機(航空券)：成田空港⇒ロサンゼルス国際空港(片道)×１人
宿泊：台湾(高雄市）3日×２人
電車：東京駅⇔名古屋駅（往復）
用途：■■展示会へ出展するため(イベント欄で確認できる場合は記載不要）
※　国と国、関東⇔関西（往復）の移動などの大まかに記載するのではなく、空港、国・都市などできるだけ具体的に記載する</t>
        </r>
        <r>
          <rPr>
            <sz val="9"/>
            <color indexed="81"/>
            <rFont val="MS P ゴシック"/>
            <family val="3"/>
            <charset val="128"/>
          </rPr>
          <t xml:space="preserve">
</t>
        </r>
      </text>
    </comment>
    <comment ref="N447" authorId="0" shapeId="0" xr:uid="{DCCE5393-2308-46AE-B50F-93C62B97CD5D}">
      <text>
        <r>
          <rPr>
            <sz val="8"/>
            <color indexed="81"/>
            <rFont val="MS P ゴシック"/>
            <family val="3"/>
            <charset val="128"/>
          </rPr>
          <t>自己負担額や補助対象外経費の記載が必要な場合は
「その他に要する経費」へ入力をお願いします。
（入力は任意となります）</t>
        </r>
        <r>
          <rPr>
            <sz val="9"/>
            <color indexed="81"/>
            <rFont val="MS P ゴシック"/>
            <family val="3"/>
            <charset val="128"/>
          </rPr>
          <t xml:space="preserve">
</t>
        </r>
      </text>
    </comment>
  </commentList>
</comments>
</file>

<file path=xl/sharedStrings.xml><?xml version="1.0" encoding="utf-8"?>
<sst xmlns="http://schemas.openxmlformats.org/spreadsheetml/2006/main" count="2147" uniqueCount="204">
  <si>
    <t>支出計画書</t>
    <rPh sb="0" eb="4">
      <t>シシュツケイカク</t>
    </rPh>
    <rPh sb="4" eb="5">
      <t>ショ</t>
    </rPh>
    <phoneticPr fontId="10"/>
  </si>
  <si>
    <t>申請事業者名</t>
    <rPh sb="0" eb="2">
      <t>シンセイ</t>
    </rPh>
    <rPh sb="2" eb="5">
      <t>ジギョウシャ</t>
    </rPh>
    <rPh sb="5" eb="6">
      <t>メイ</t>
    </rPh>
    <phoneticPr fontId="7"/>
  </si>
  <si>
    <t>←次に該当しない者は、補助対象経費を「税抜価格」で記載し、上記経理処欄で「税別」を選択。</t>
    <rPh sb="1" eb="2">
      <t>ツギ</t>
    </rPh>
    <rPh sb="3" eb="5">
      <t>ガイトウ</t>
    </rPh>
    <rPh sb="8" eb="9">
      <t>シャ</t>
    </rPh>
    <rPh sb="11" eb="13">
      <t>ホジョ</t>
    </rPh>
    <rPh sb="13" eb="15">
      <t>タイショウ</t>
    </rPh>
    <rPh sb="15" eb="17">
      <t>ケイヒ</t>
    </rPh>
    <rPh sb="19" eb="20">
      <t>ゼイ</t>
    </rPh>
    <rPh sb="20" eb="21">
      <t>ヌ</t>
    </rPh>
    <rPh sb="21" eb="23">
      <t>カカク</t>
    </rPh>
    <rPh sb="25" eb="27">
      <t>キサイ</t>
    </rPh>
    <rPh sb="29" eb="31">
      <t>ジョウキ</t>
    </rPh>
    <rPh sb="31" eb="33">
      <t>ケイリ</t>
    </rPh>
    <rPh sb="33" eb="34">
      <t>ドコロ</t>
    </rPh>
    <rPh sb="34" eb="35">
      <t>ラン</t>
    </rPh>
    <rPh sb="37" eb="38">
      <t>ゼイ</t>
    </rPh>
    <rPh sb="38" eb="39">
      <t>ベツ</t>
    </rPh>
    <rPh sb="41" eb="43">
      <t>センタク</t>
    </rPh>
    <phoneticPr fontId="12"/>
  </si>
  <si>
    <t>経理処理</t>
    <rPh sb="0" eb="4">
      <t>ケイリショリ</t>
    </rPh>
    <phoneticPr fontId="7"/>
  </si>
  <si>
    <t>　① 消費税法における納税義務者とならない者</t>
  </si>
  <si>
    <t>取組</t>
    <phoneticPr fontId="7"/>
  </si>
  <si>
    <t>　② 免税事業者、簡易課税事業者及び二割特例</t>
    <rPh sb="16" eb="17">
      <t>オヨ</t>
    </rPh>
    <rPh sb="18" eb="20">
      <t>ニワリ</t>
    </rPh>
    <rPh sb="20" eb="22">
      <t>トクレイ</t>
    </rPh>
    <phoneticPr fontId="2"/>
  </si>
  <si>
    <t>展示会・商談会の取組</t>
    <phoneticPr fontId="7"/>
  </si>
  <si>
    <t>催事販売の取組</t>
    <phoneticPr fontId="7"/>
  </si>
  <si>
    <t>　③ 消費税法別表第三に掲げる法人</t>
  </si>
  <si>
    <t>✓</t>
  </si>
  <si>
    <t>←複数選択可(プルダウンから選択）</t>
    <rPh sb="1" eb="5">
      <t>フクスウセンタク</t>
    </rPh>
    <rPh sb="5" eb="6">
      <t>カ</t>
    </rPh>
    <rPh sb="14" eb="16">
      <t>センタク</t>
    </rPh>
    <phoneticPr fontId="7"/>
  </si>
  <si>
    <t>　④ 課税事業者のうち課税売上割合が低い等の理由から、消費税仕入控除税額確定後の返還を選択する者</t>
    <rPh sb="47" eb="48">
      <t>モノ</t>
    </rPh>
    <phoneticPr fontId="2"/>
  </si>
  <si>
    <t>1.</t>
    <phoneticPr fontId="7"/>
  </si>
  <si>
    <t>経費配分内訳</t>
    <phoneticPr fontId="2"/>
  </si>
  <si>
    <t>（単位：円）</t>
  </si>
  <si>
    <t>経費区分及び明細</t>
  </si>
  <si>
    <t>補助率</t>
    <rPh sb="0" eb="3">
      <t>ホジョリツ</t>
    </rPh>
    <phoneticPr fontId="7"/>
  </si>
  <si>
    <t>補助事業に要する経費
Ⓒ</t>
    <rPh sb="0" eb="2">
      <t>ホジョ</t>
    </rPh>
    <rPh sb="2" eb="4">
      <t>ジギョウ</t>
    </rPh>
    <rPh sb="5" eb="6">
      <t>ヨウ</t>
    </rPh>
    <rPh sb="8" eb="10">
      <t>ケイヒ</t>
    </rPh>
    <phoneticPr fontId="10"/>
  </si>
  <si>
    <t>補助対象
経費</t>
    <rPh sb="0" eb="2">
      <t>ホジョ</t>
    </rPh>
    <rPh sb="2" eb="4">
      <t>タイショウ</t>
    </rPh>
    <rPh sb="5" eb="7">
      <t>ケイヒ</t>
    </rPh>
    <phoneticPr fontId="10"/>
  </si>
  <si>
    <t>補助金要望額
Ⓐ</t>
    <rPh sb="0" eb="3">
      <t>ホジョキン</t>
    </rPh>
    <rPh sb="3" eb="5">
      <t>ヨウボウ</t>
    </rPh>
    <rPh sb="5" eb="6">
      <t>ガク</t>
    </rPh>
    <phoneticPr fontId="10"/>
  </si>
  <si>
    <t>自己負担
Ⓑ</t>
    <phoneticPr fontId="7"/>
  </si>
  <si>
    <t>％</t>
    <phoneticPr fontId="7"/>
  </si>
  <si>
    <t>定額</t>
    <rPh sb="0" eb="2">
      <t>テイガク</t>
    </rPh>
    <phoneticPr fontId="7"/>
  </si>
  <si>
    <t>その他に要する経費</t>
    <rPh sb="2" eb="3">
      <t>タ</t>
    </rPh>
    <rPh sb="4" eb="5">
      <t>ヨウ</t>
    </rPh>
    <rPh sb="7" eb="9">
      <t>ケイヒ</t>
    </rPh>
    <phoneticPr fontId="12"/>
  </si>
  <si>
    <t>合　　　　　計</t>
  </si>
  <si>
    <t>※円未満は切り捨て。</t>
    <phoneticPr fontId="10"/>
  </si>
  <si>
    <t>2.</t>
    <phoneticPr fontId="7"/>
  </si>
  <si>
    <t>資金調達内訳</t>
    <phoneticPr fontId="2"/>
  </si>
  <si>
    <t>区　分</t>
    <rPh sb="0" eb="1">
      <t>ク</t>
    </rPh>
    <rPh sb="2" eb="3">
      <t>ブン</t>
    </rPh>
    <phoneticPr fontId="2"/>
  </si>
  <si>
    <t>金額(円)</t>
    <rPh sb="0" eb="2">
      <t>キンガク</t>
    </rPh>
    <rPh sb="3" eb="4">
      <t>エン</t>
    </rPh>
    <phoneticPr fontId="2"/>
  </si>
  <si>
    <t>資金の調達先</t>
    <rPh sb="0" eb="2">
      <t>シキン</t>
    </rPh>
    <rPh sb="3" eb="6">
      <t>チョウタツサキ</t>
    </rPh>
    <phoneticPr fontId="2"/>
  </si>
  <si>
    <t>Ⓐ</t>
    <phoneticPr fontId="2"/>
  </si>
  <si>
    <t>補助金要望額</t>
    <rPh sb="0" eb="3">
      <t>ホジョキン</t>
    </rPh>
    <rPh sb="3" eb="5">
      <t>ヨウボウ</t>
    </rPh>
    <rPh sb="5" eb="6">
      <t>ガク</t>
    </rPh>
    <phoneticPr fontId="2"/>
  </si>
  <si>
    <t>Ⓑ</t>
    <phoneticPr fontId="2"/>
  </si>
  <si>
    <t>自己資金</t>
    <rPh sb="0" eb="2">
      <t>ジコ</t>
    </rPh>
    <rPh sb="2" eb="4">
      <t>シキン</t>
    </rPh>
    <phoneticPr fontId="2"/>
  </si>
  <si>
    <t>借入金</t>
    <rPh sb="0" eb="2">
      <t>カリイレ</t>
    </rPh>
    <rPh sb="2" eb="3">
      <t>キン</t>
    </rPh>
    <phoneticPr fontId="2"/>
  </si>
  <si>
    <t>その他</t>
    <rPh sb="2" eb="3">
      <t>タ</t>
    </rPh>
    <phoneticPr fontId="2"/>
  </si>
  <si>
    <t>Ⓒ</t>
    <phoneticPr fontId="7"/>
  </si>
  <si>
    <t>補助事業に要する経費</t>
    <phoneticPr fontId="7"/>
  </si>
  <si>
    <t>上記1.経費配分内訳のⒶ＋Ⓑ＝Ⓒと同額になる</t>
    <rPh sb="0" eb="2">
      <t>ジョウキ</t>
    </rPh>
    <rPh sb="17" eb="19">
      <t>ドウガク</t>
    </rPh>
    <phoneticPr fontId="2"/>
  </si>
  <si>
    <t>←1.経費配分内訳の「補助事業に要する経費」と不一致の場合、赤色でエラーが表示される。</t>
    <rPh sb="3" eb="5">
      <t>ケイヒ</t>
    </rPh>
    <rPh sb="5" eb="7">
      <t>ハイブン</t>
    </rPh>
    <rPh sb="7" eb="9">
      <t>ウチワケ</t>
    </rPh>
    <rPh sb="11" eb="15">
      <t>ホジョジギョウ</t>
    </rPh>
    <rPh sb="16" eb="17">
      <t>ヨウ</t>
    </rPh>
    <rPh sb="19" eb="21">
      <t>ケイヒ</t>
    </rPh>
    <rPh sb="23" eb="26">
      <t>フイッチ</t>
    </rPh>
    <rPh sb="27" eb="29">
      <t>バアイ</t>
    </rPh>
    <rPh sb="30" eb="32">
      <t>アカイロ</t>
    </rPh>
    <rPh sb="37" eb="39">
      <t>ヒョウジ</t>
    </rPh>
    <phoneticPr fontId="7"/>
  </si>
  <si>
    <t>3.</t>
    <phoneticPr fontId="7"/>
  </si>
  <si>
    <t>「2.Ⓐ補助金要望額」の手当方法</t>
    <rPh sb="4" eb="7">
      <t>ホジョキン</t>
    </rPh>
    <rPh sb="7" eb="9">
      <t>ヨウボウ</t>
    </rPh>
    <rPh sb="9" eb="10">
      <t>ガク</t>
    </rPh>
    <rPh sb="12" eb="14">
      <t>テアテ</t>
    </rPh>
    <rPh sb="14" eb="16">
      <t>ホウホウ</t>
    </rPh>
    <phoneticPr fontId="2"/>
  </si>
  <si>
    <t>区分</t>
    <rPh sb="0" eb="2">
      <t>クブン</t>
    </rPh>
    <phoneticPr fontId="2"/>
  </si>
  <si>
    <t>上記2.資金調達内訳のⒶと同額になる</t>
    <rPh sb="0" eb="2">
      <t>ジョウキ</t>
    </rPh>
    <rPh sb="4" eb="6">
      <t>シキン</t>
    </rPh>
    <rPh sb="6" eb="8">
      <t>チョウタツ</t>
    </rPh>
    <rPh sb="8" eb="10">
      <t>ウチワケ</t>
    </rPh>
    <rPh sb="13" eb="15">
      <t>ドウガク</t>
    </rPh>
    <phoneticPr fontId="2"/>
  </si>
  <si>
    <t>←2.資金調達内訳の「Ⓐ補助金要望額」と不一致の場合、赤色でエラーが表示される。</t>
    <rPh sb="3" eb="7">
      <t>シキンチョウタツ</t>
    </rPh>
    <rPh sb="7" eb="9">
      <t>ウチワケ</t>
    </rPh>
    <rPh sb="12" eb="15">
      <t>ホジョキン</t>
    </rPh>
    <rPh sb="15" eb="18">
      <t>ヨウボウガク</t>
    </rPh>
    <rPh sb="20" eb="23">
      <t>フイッチ</t>
    </rPh>
    <rPh sb="24" eb="26">
      <t>バアイ</t>
    </rPh>
    <rPh sb="27" eb="29">
      <t>アカイロ</t>
    </rPh>
    <rPh sb="34" eb="36">
      <t>ヒョウジ</t>
    </rPh>
    <phoneticPr fontId="7"/>
  </si>
  <si>
    <t>積算明細書</t>
    <rPh sb="0" eb="2">
      <t>セキサン</t>
    </rPh>
    <rPh sb="2" eb="5">
      <t>メイサイショ</t>
    </rPh>
    <phoneticPr fontId="2"/>
  </si>
  <si>
    <t>（様式３）支出計画書　別添</t>
    <phoneticPr fontId="7"/>
  </si>
  <si>
    <t>申請事業者名：</t>
    <rPh sb="0" eb="2">
      <t>シンセイ</t>
    </rPh>
    <rPh sb="2" eb="5">
      <t>ジギョウシャ</t>
    </rPh>
    <rPh sb="5" eb="6">
      <t>メイ</t>
    </rPh>
    <phoneticPr fontId="7"/>
  </si>
  <si>
    <t>※ 複数の取組にまたがって発生し、単独の取組に直接紐づけられない経費の場合は、複数の取組を選択する。</t>
    <rPh sb="42" eb="44">
      <t>トリクミ</t>
    </rPh>
    <phoneticPr fontId="7"/>
  </si>
  <si>
    <t>【見積】○：必須、△：代理店に発注する場合は交付申請時に見積書の提出が必須、－：任意</t>
    <rPh sb="1" eb="3">
      <t>ミツモリ</t>
    </rPh>
    <rPh sb="6" eb="8">
      <t>ヒッス</t>
    </rPh>
    <rPh sb="40" eb="42">
      <t>ニンイ</t>
    </rPh>
    <phoneticPr fontId="7"/>
  </si>
  <si>
    <t>経費区分</t>
    <rPh sb="0" eb="2">
      <t>ケイヒ</t>
    </rPh>
    <rPh sb="2" eb="4">
      <t>クブン</t>
    </rPh>
    <phoneticPr fontId="2"/>
  </si>
  <si>
    <t>明細
番号</t>
    <rPh sb="0" eb="2">
      <t>メイサイ</t>
    </rPh>
    <rPh sb="3" eb="5">
      <t>バンゴウ</t>
    </rPh>
    <phoneticPr fontId="7"/>
  </si>
  <si>
    <t>見積</t>
    <rPh sb="0" eb="2">
      <t>ミツモリ</t>
    </rPh>
    <phoneticPr fontId="7"/>
  </si>
  <si>
    <r>
      <t>取組　</t>
    </r>
    <r>
      <rPr>
        <b/>
        <sz val="11"/>
        <color rgb="FF0000FF"/>
        <rFont val="Meiryo UI"/>
        <family val="3"/>
        <charset val="128"/>
      </rPr>
      <t>※</t>
    </r>
    <rPh sb="0" eb="2">
      <t>トリクミ</t>
    </rPh>
    <phoneticPr fontId="12"/>
  </si>
  <si>
    <t>計</t>
    <rPh sb="0" eb="1">
      <t>ケイ</t>
    </rPh>
    <phoneticPr fontId="2"/>
  </si>
  <si>
    <t>単価</t>
    <rPh sb="0" eb="2">
      <t>タンカ</t>
    </rPh>
    <phoneticPr fontId="2"/>
  </si>
  <si>
    <t>数量</t>
    <rPh sb="0" eb="2">
      <t>スウリョウ</t>
    </rPh>
    <phoneticPr fontId="2"/>
  </si>
  <si>
    <t>(単位)</t>
    <rPh sb="1" eb="3">
      <t>タンイ</t>
    </rPh>
    <phoneticPr fontId="2"/>
  </si>
  <si>
    <t>回数等</t>
    <rPh sb="0" eb="2">
      <t>カイスウ</t>
    </rPh>
    <rPh sb="2" eb="3">
      <t>トウ</t>
    </rPh>
    <phoneticPr fontId="2"/>
  </si>
  <si>
    <t>イベント開催予定月</t>
    <rPh sb="4" eb="6">
      <t>カイサイ</t>
    </rPh>
    <rPh sb="6" eb="8">
      <t>ヨテイ</t>
    </rPh>
    <rPh sb="8" eb="9">
      <t>ツキ</t>
    </rPh>
    <phoneticPr fontId="2"/>
  </si>
  <si>
    <t>展</t>
    <rPh sb="0" eb="1">
      <t>テン</t>
    </rPh>
    <phoneticPr fontId="12"/>
  </si>
  <si>
    <t>催</t>
    <phoneticPr fontId="12"/>
  </si>
  <si>
    <t>←全ての経費を入力した後、「計」の数値フィルターで「0」のチェックを外すと計上する経費のみが表示されます。(行の削除は禁止)</t>
    <rPh sb="1" eb="2">
      <t>スベ</t>
    </rPh>
    <rPh sb="4" eb="6">
      <t>ケイヒ</t>
    </rPh>
    <rPh sb="7" eb="9">
      <t>ニュウリョク</t>
    </rPh>
    <rPh sb="11" eb="12">
      <t>ノチ</t>
    </rPh>
    <rPh sb="14" eb="15">
      <t>ケイ</t>
    </rPh>
    <rPh sb="17" eb="19">
      <t>スウチ</t>
    </rPh>
    <rPh sb="34" eb="35">
      <t>ハズ</t>
    </rPh>
    <rPh sb="37" eb="39">
      <t>ケイジョウ</t>
    </rPh>
    <rPh sb="41" eb="43">
      <t>ケイヒ</t>
    </rPh>
    <rPh sb="46" eb="48">
      <t>ヒョウジ</t>
    </rPh>
    <rPh sb="54" eb="55">
      <t>ギョウ</t>
    </rPh>
    <rPh sb="56" eb="58">
      <t>サクジョ</t>
    </rPh>
    <rPh sb="59" eb="61">
      <t>キンシ</t>
    </rPh>
    <phoneticPr fontId="4"/>
  </si>
  <si>
    <t>－</t>
    <phoneticPr fontId="7"/>
  </si>
  <si>
    <t>人</t>
    <rPh sb="0" eb="1">
      <t>ニン</t>
    </rPh>
    <phoneticPr fontId="7"/>
  </si>
  <si>
    <t>↓30行分を非表示にしています。使用する場合は再表示してください。</t>
    <rPh sb="3" eb="4">
      <t>ギョウ</t>
    </rPh>
    <rPh sb="4" eb="5">
      <t>ブン</t>
    </rPh>
    <rPh sb="6" eb="9">
      <t>ヒヒョウジ</t>
    </rPh>
    <rPh sb="16" eb="18">
      <t>シヨウ</t>
    </rPh>
    <rPh sb="20" eb="22">
      <t>バアイ</t>
    </rPh>
    <rPh sb="23" eb="26">
      <t>サイヒョウジ</t>
    </rPh>
    <phoneticPr fontId="4"/>
  </si>
  <si>
    <t>合計</t>
    <rPh sb="0" eb="2">
      <t>ゴウケイ</t>
    </rPh>
    <phoneticPr fontId="7"/>
  </si>
  <si>
    <t>△</t>
    <phoneticPr fontId="7"/>
  </si>
  <si>
    <t>○○展示会の指揮責任者（補助事業者）
飛行機(航空券)：成田空港⇒ロサンゼルス国際空港(往復)×２人、宿泊：米国(ロサンゼル）3日×２人</t>
    <rPh sb="2" eb="5">
      <t>テンジカイ</t>
    </rPh>
    <rPh sb="6" eb="8">
      <t>シキ</t>
    </rPh>
    <rPh sb="8" eb="11">
      <t>セキニンシャ</t>
    </rPh>
    <rPh sb="12" eb="14">
      <t>ホジョ</t>
    </rPh>
    <rPh sb="14" eb="16">
      <t>ジギョウ</t>
    </rPh>
    <rPh sb="16" eb="17">
      <t>シャ</t>
    </rPh>
    <rPh sb="44" eb="46">
      <t>オウフク</t>
    </rPh>
    <rPh sb="54" eb="56">
      <t>ベイコク</t>
    </rPh>
    <phoneticPr fontId="7"/>
  </si>
  <si>
    <t>イベント出店参加旅費（交通費）
電車：名古屋駅⇔東京駅（往復）
※ １１，０００円×２(往復）×１０人</t>
    <rPh sb="4" eb="6">
      <t>シュッテン</t>
    </rPh>
    <rPh sb="6" eb="8">
      <t>サンカ</t>
    </rPh>
    <rPh sb="8" eb="10">
      <t>リョヒ</t>
    </rPh>
    <rPh sb="11" eb="14">
      <t>コウツウヒ</t>
    </rPh>
    <phoneticPr fontId="7"/>
  </si>
  <si>
    <t>日</t>
    <rPh sb="0" eb="1">
      <t>ニチ</t>
    </rPh>
    <phoneticPr fontId="7"/>
  </si>
  <si>
    <t xml:space="preserve">イベント出店参加旅費（宿泊費）
宿泊：東京都（１９，０００円×7日×１０人）
宿泊手当：２，４００円×（7日×１０人）
</t>
    <rPh sb="11" eb="13">
      <t>シュクハク</t>
    </rPh>
    <rPh sb="19" eb="22">
      <t>トウキョウト</t>
    </rPh>
    <rPh sb="39" eb="41">
      <t>シュクハク</t>
    </rPh>
    <rPh sb="41" eb="43">
      <t>テアテ</t>
    </rPh>
    <rPh sb="49" eb="50">
      <t>エン</t>
    </rPh>
    <phoneticPr fontId="7"/>
  </si>
  <si>
    <t>個</t>
    <rPh sb="0" eb="1">
      <t>コ</t>
    </rPh>
    <phoneticPr fontId="7"/>
  </si>
  <si>
    <t>回</t>
    <rPh sb="0" eb="1">
      <t>カイ</t>
    </rPh>
    <phoneticPr fontId="7"/>
  </si>
  <si>
    <t>○</t>
    <phoneticPr fontId="7"/>
  </si>
  <si>
    <t>○○駅直結の駅型商業施設「■■」の場所代
ポッポアップストア開催（１４日間）</t>
    <rPh sb="2" eb="3">
      <t>エキ</t>
    </rPh>
    <rPh sb="3" eb="5">
      <t>チョッケツ</t>
    </rPh>
    <rPh sb="6" eb="8">
      <t>エキガタ</t>
    </rPh>
    <rPh sb="8" eb="10">
      <t>ショウギョウ</t>
    </rPh>
    <rPh sb="10" eb="12">
      <t>シセツ</t>
    </rPh>
    <rPh sb="17" eb="20">
      <t>バショダイ</t>
    </rPh>
    <rPh sb="30" eb="32">
      <t>カイサイ</t>
    </rPh>
    <rPh sb="35" eb="37">
      <t>ニチカン</t>
    </rPh>
    <phoneticPr fontId="7"/>
  </si>
  <si>
    <t xml:space="preserve">ECサイト構費(初期費用)
●: サイト構築費（デザイン、開発費）、商品登録・撮影費(500,000円)
</t>
    <rPh sb="5" eb="6">
      <t>カマエ</t>
    </rPh>
    <rPh sb="6" eb="7">
      <t>ヒエン</t>
    </rPh>
    <phoneticPr fontId="7"/>
  </si>
  <si>
    <t>カ月</t>
    <rPh sb="1" eb="2">
      <t>ゲツ</t>
    </rPh>
    <phoneticPr fontId="7"/>
  </si>
  <si>
    <t>■◆株式会社</t>
  </si>
  <si>
    <t>式</t>
    <rPh sb="0" eb="1">
      <t>シキ</t>
    </rPh>
    <phoneticPr fontId="7"/>
  </si>
  <si>
    <t xml:space="preserve">■■展示会のブース施工・設備費
1式の内訳(壁、床、電気工事)
</t>
    <rPh sb="17" eb="18">
      <t>シキ</t>
    </rPh>
    <rPh sb="19" eb="21">
      <t>ウチワケ</t>
    </rPh>
    <phoneticPr fontId="7"/>
  </si>
  <si>
    <t>者</t>
    <rPh sb="0" eb="1">
      <t>シャ</t>
    </rPh>
    <phoneticPr fontId="7"/>
  </si>
  <si>
    <t>●●展示会出展料（小間代）×25者
※　1小間（3m×3m程度）</t>
    <rPh sb="2" eb="5">
      <t>テンジカイ</t>
    </rPh>
    <rPh sb="5" eb="8">
      <t>シュッテンリョウ</t>
    </rPh>
    <phoneticPr fontId="7"/>
  </si>
  <si>
    <t>●●展示会</t>
    <rPh sb="2" eb="5">
      <t>テンジカイ</t>
    </rPh>
    <phoneticPr fontId="7"/>
  </si>
  <si>
    <t>電気ケトル(●●製、型番：XXXX)×3個
※　●●展示会で使用</t>
    <rPh sb="8" eb="9">
      <t>セイ</t>
    </rPh>
    <rPh sb="10" eb="12">
      <t>カタバン</t>
    </rPh>
    <rPh sb="20" eb="21">
      <t>コ</t>
    </rPh>
    <rPh sb="26" eb="29">
      <t>テンジカイ</t>
    </rPh>
    <rPh sb="30" eb="32">
      <t>シヨウ</t>
    </rPh>
    <phoneticPr fontId="7"/>
  </si>
  <si>
    <t>デジタル広告運用費</t>
    <rPh sb="4" eb="6">
      <t>コウコク</t>
    </rPh>
    <rPh sb="6" eb="8">
      <t>ウンヨウ</t>
    </rPh>
    <rPh sb="8" eb="9">
      <t>ヒ</t>
    </rPh>
    <phoneticPr fontId="7"/>
  </si>
  <si>
    <t>●●広告株式会社</t>
    <rPh sb="2" eb="4">
      <t>コウコク</t>
    </rPh>
    <rPh sb="4" eb="8">
      <t>カブシキガイシャ</t>
    </rPh>
    <phoneticPr fontId="7"/>
  </si>
  <si>
    <t>種類</t>
    <rPh sb="0" eb="2">
      <t>シュルイ</t>
    </rPh>
    <phoneticPr fontId="7"/>
  </si>
  <si>
    <t>☆☆物産展ポスターデザイン費</t>
    <rPh sb="2" eb="5">
      <t>ブッサンテン</t>
    </rPh>
    <rPh sb="13" eb="14">
      <t>ヒ</t>
    </rPh>
    <phoneticPr fontId="7"/>
  </si>
  <si>
    <t>枚</t>
    <rPh sb="0" eb="1">
      <t>マイ</t>
    </rPh>
    <phoneticPr fontId="7"/>
  </si>
  <si>
    <t>物産展ポスター印刷費</t>
    <rPh sb="0" eb="3">
      <t>ブッサンテン</t>
    </rPh>
    <rPh sb="7" eb="9">
      <t>インサツ</t>
    </rPh>
    <rPh sb="9" eb="10">
      <t>ヒ</t>
    </rPh>
    <phoneticPr fontId="7"/>
  </si>
  <si>
    <t>冊</t>
    <rPh sb="0" eb="1">
      <t>サツ</t>
    </rPh>
    <phoneticPr fontId="7"/>
  </si>
  <si>
    <t>物産展カタログ印刷費</t>
    <rPh sb="0" eb="3">
      <t>ブッサンテン</t>
    </rPh>
    <rPh sb="7" eb="9">
      <t>インサツ</t>
    </rPh>
    <rPh sb="9" eb="10">
      <t>ヒ</t>
    </rPh>
    <phoneticPr fontId="7"/>
  </si>
  <si>
    <t>☆☆物産展向けの研修会資料印刷費
セミナー・研修会（3回）</t>
    <rPh sb="5" eb="6">
      <t>ム</t>
    </rPh>
    <rPh sb="8" eb="11">
      <t>ケンシュウカイ</t>
    </rPh>
    <rPh sb="11" eb="13">
      <t>シリョウ</t>
    </rPh>
    <rPh sb="13" eb="16">
      <t>インサツヒ</t>
    </rPh>
    <phoneticPr fontId="7"/>
  </si>
  <si>
    <t>部</t>
    <rPh sb="0" eb="1">
      <t>ブ</t>
    </rPh>
    <phoneticPr fontId="7"/>
  </si>
  <si>
    <t>株式会社◎◎翻訳サービス</t>
    <rPh sb="6" eb="8">
      <t>ホンヤク</t>
    </rPh>
    <phoneticPr fontId="7"/>
  </si>
  <si>
    <t>日</t>
    <rPh sb="0" eb="1">
      <t>ヒ</t>
    </rPh>
    <phoneticPr fontId="7"/>
  </si>
  <si>
    <t>人</t>
    <rPh sb="0" eb="1">
      <t>ヒト</t>
    </rPh>
    <phoneticPr fontId="7"/>
  </si>
  <si>
    <t>会場警備（派遣社員）</t>
    <rPh sb="0" eb="2">
      <t>カイジョウ</t>
    </rPh>
    <rPh sb="2" eb="4">
      <t>ケイビ</t>
    </rPh>
    <rPh sb="5" eb="7">
      <t>ハケン</t>
    </rPh>
    <rPh sb="7" eb="9">
      <t>シャイン</t>
    </rPh>
    <phoneticPr fontId="7"/>
  </si>
  <si>
    <t>株式会社●●警備</t>
    <rPh sb="0" eb="2">
      <t>カブシキ</t>
    </rPh>
    <rPh sb="2" eb="4">
      <t>カイシャ</t>
    </rPh>
    <rPh sb="6" eb="8">
      <t>ケイビ</t>
    </rPh>
    <phoneticPr fontId="7"/>
  </si>
  <si>
    <t>↓70行分を非表示にしています。使用する場合は再表示してください。</t>
    <rPh sb="3" eb="4">
      <t>ギョウ</t>
    </rPh>
    <rPh sb="4" eb="5">
      <t>ブン</t>
    </rPh>
    <rPh sb="6" eb="9">
      <t>ヒヒョウジ</t>
    </rPh>
    <rPh sb="16" eb="18">
      <t>シヨウ</t>
    </rPh>
    <rPh sb="20" eb="22">
      <t>バアイ</t>
    </rPh>
    <rPh sb="23" eb="26">
      <t>サイヒョウジ</t>
    </rPh>
    <phoneticPr fontId="4"/>
  </si>
  <si>
    <t>■■ジャパン株式会社</t>
  </si>
  <si>
    <t>その他に要する経費</t>
    <rPh sb="2" eb="3">
      <t>タ</t>
    </rPh>
    <rPh sb="4" eb="5">
      <t>ヨウ</t>
    </rPh>
    <rPh sb="7" eb="9">
      <t>ケイヒ</t>
    </rPh>
    <phoneticPr fontId="7"/>
  </si>
  <si>
    <t>展示・商談会</t>
    <phoneticPr fontId="7"/>
  </si>
  <si>
    <t>催事販売</t>
    <phoneticPr fontId="7"/>
  </si>
  <si>
    <t>マーケティング拠点</t>
    <phoneticPr fontId="7"/>
  </si>
  <si>
    <t>☆☆物産展の事前指導セミナー講師料(参画事業者向け)
（８時間×３日間＝２４時間）
謝金の単価は「別添2（区分⓺、民間：課長級）」を根拠とする</t>
    <rPh sb="2" eb="5">
      <t>ブッサンテン</t>
    </rPh>
    <rPh sb="6" eb="8">
      <t>ジゼン</t>
    </rPh>
    <rPh sb="8" eb="10">
      <t>シドウ</t>
    </rPh>
    <rPh sb="14" eb="16">
      <t>コウシ</t>
    </rPh>
    <rPh sb="16" eb="17">
      <t>リョウ</t>
    </rPh>
    <rPh sb="23" eb="24">
      <t>ム</t>
    </rPh>
    <rPh sb="33" eb="35">
      <t>ニチカン</t>
    </rPh>
    <rPh sb="42" eb="44">
      <t>シャキン</t>
    </rPh>
    <rPh sb="45" eb="47">
      <t>タンカ</t>
    </rPh>
    <rPh sb="49" eb="51">
      <t>ベッテン</t>
    </rPh>
    <rPh sb="53" eb="55">
      <t>クブン</t>
    </rPh>
    <rPh sb="57" eb="59">
      <t>ミンカン</t>
    </rPh>
    <rPh sb="60" eb="62">
      <t>カチョウ</t>
    </rPh>
    <rPh sb="62" eb="63">
      <t>キュウ</t>
    </rPh>
    <rPh sb="66" eb="68">
      <t>コンキョ</t>
    </rPh>
    <phoneticPr fontId="7"/>
  </si>
  <si>
    <t>催事販売用の商品の運搬費(往復）×15者
自己負担</t>
    <rPh sb="0" eb="2">
      <t>サイジ</t>
    </rPh>
    <rPh sb="2" eb="5">
      <t>ハンバイヨウ</t>
    </rPh>
    <rPh sb="6" eb="8">
      <t>ショウヒン</t>
    </rPh>
    <rPh sb="9" eb="12">
      <t>ウンパンヒ</t>
    </rPh>
    <rPh sb="13" eb="15">
      <t>オウフク</t>
    </rPh>
    <rPh sb="19" eb="20">
      <t>シャ</t>
    </rPh>
    <rPh sb="21" eb="25">
      <t>ジコフタン</t>
    </rPh>
    <phoneticPr fontId="7"/>
  </si>
  <si>
    <t>◆◆運輸</t>
    <rPh sb="2" eb="4">
      <t>ウンユ</t>
    </rPh>
    <phoneticPr fontId="7"/>
  </si>
  <si>
    <t>イベント名</t>
    <rPh sb="4" eb="5">
      <t>メイ</t>
    </rPh>
    <phoneticPr fontId="2"/>
  </si>
  <si>
    <t>現時点で発注を予定している取引先候補</t>
    <rPh sb="0" eb="3">
      <t>ゲンジテン</t>
    </rPh>
    <rPh sb="4" eb="6">
      <t>ハッチュウ</t>
    </rPh>
    <rPh sb="7" eb="9">
      <t>ヨテイ</t>
    </rPh>
    <rPh sb="13" eb="15">
      <t>トリヒキ</t>
    </rPh>
    <rPh sb="15" eb="16">
      <t>サキ</t>
    </rPh>
    <rPh sb="16" eb="18">
      <t>コウホ</t>
    </rPh>
    <phoneticPr fontId="2"/>
  </si>
  <si>
    <t>☆☆物産展</t>
  </si>
  <si>
    <t>○○展示会</t>
  </si>
  <si>
    <t>☆☆物産展</t>
    <rPh sb="2" eb="5">
      <t>ブッサンテン</t>
    </rPh>
    <phoneticPr fontId="7"/>
  </si>
  <si>
    <t>■■展示会</t>
  </si>
  <si>
    <t>期間限定ショップ●●</t>
  </si>
  <si>
    <t>●●展示会</t>
  </si>
  <si>
    <t>内訳の内容</t>
    <rPh sb="0" eb="2">
      <t>ウチワケ</t>
    </rPh>
    <rPh sb="3" eb="5">
      <t>ナイヨウ</t>
    </rPh>
    <phoneticPr fontId="2"/>
  </si>
  <si>
    <t>１０月、１１月、１２月</t>
    <rPh sb="6" eb="7">
      <t>ガツ</t>
    </rPh>
    <rPh sb="10" eb="11">
      <t>ガツ</t>
    </rPh>
    <phoneticPr fontId="7"/>
  </si>
  <si>
    <t>11月</t>
  </si>
  <si>
    <t>11月</t>
    <phoneticPr fontId="7"/>
  </si>
  <si>
    <t>１０月～１月</t>
    <rPh sb="2" eb="3">
      <t>ゲツ</t>
    </rPh>
    <rPh sb="5" eb="6">
      <t>ツキ</t>
    </rPh>
    <phoneticPr fontId="7"/>
  </si>
  <si>
    <t>１２月</t>
    <rPh sb="2" eb="3">
      <t>ガツ</t>
    </rPh>
    <phoneticPr fontId="7"/>
  </si>
  <si>
    <t>１１月～１月</t>
    <rPh sb="2" eb="3">
      <t>ゲツ</t>
    </rPh>
    <rPh sb="5" eb="6">
      <t>ツキ</t>
    </rPh>
    <phoneticPr fontId="7"/>
  </si>
  <si>
    <t>11月</t>
    <rPh sb="2" eb="3">
      <t>ガツ</t>
    </rPh>
    <phoneticPr fontId="7"/>
  </si>
  <si>
    <t>９月～１月</t>
    <rPh sb="1" eb="2">
      <t>ガツ</t>
    </rPh>
    <rPh sb="4" eb="5">
      <t>ガツ</t>
    </rPh>
    <phoneticPr fontId="7"/>
  </si>
  <si>
    <t>9月、10月、11月</t>
    <rPh sb="5" eb="6">
      <t>ガツ</t>
    </rPh>
    <rPh sb="9" eb="10">
      <t>ガツ</t>
    </rPh>
    <phoneticPr fontId="7"/>
  </si>
  <si>
    <t>②地域振興等機関旅費</t>
  </si>
  <si>
    <t>③参画事業者旅費</t>
  </si>
  <si>
    <t>①謝金</t>
  </si>
  <si>
    <t>④借料</t>
  </si>
  <si>
    <t>⑤設営・設計費</t>
    <phoneticPr fontId="2"/>
  </si>
  <si>
    <t>⑤設営・設計費
（内外装費、整備工事等を含む）</t>
  </si>
  <si>
    <t>⑥展示会等出展費</t>
  </si>
  <si>
    <t>⑦備品費</t>
  </si>
  <si>
    <t>⑧広報費</t>
  </si>
  <si>
    <t>⑨印刷製本費</t>
  </si>
  <si>
    <t>⑨印刷製本費（資料作成費を含む）</t>
  </si>
  <si>
    <t>⑩委託・外注費</t>
  </si>
  <si>
    <t>第３回公募 小規模事業者持続化補助金＜共同・協業型＞</t>
    <rPh sb="6" eb="18">
      <t>ショウキボジギョウシャジゾクカホジョキン</t>
    </rPh>
    <rPh sb="19" eb="21">
      <t>キョウドウ</t>
    </rPh>
    <rPh sb="22" eb="24">
      <t>キョウギョウ</t>
    </rPh>
    <rPh sb="24" eb="25">
      <t>ガタ</t>
    </rPh>
    <phoneticPr fontId="7"/>
  </si>
  <si>
    <t>（様式３）</t>
    <phoneticPr fontId="7"/>
  </si>
  <si>
    <t>第３回公募 小規模事業者持続化補助金＜共同・協業型＞</t>
    <phoneticPr fontId="7"/>
  </si>
  <si>
    <t>販</t>
    <phoneticPr fontId="12"/>
  </si>
  <si>
    <t>※ どの取組に係る経費か経費別(明細別)に選択する。取組は右記のとおりに略す：展示会・商談会の取組→展、催事販売の取組→催、販売拠点構築の取組→販</t>
    <rPh sb="4" eb="6">
      <t>トリクミ</t>
    </rPh>
    <rPh sb="7" eb="8">
      <t>カカ</t>
    </rPh>
    <rPh sb="9" eb="11">
      <t>ケイヒ</t>
    </rPh>
    <rPh sb="12" eb="15">
      <t>ケイヒベツ</t>
    </rPh>
    <rPh sb="16" eb="19">
      <t>メイサイベツ</t>
    </rPh>
    <rPh sb="21" eb="23">
      <t>センタク</t>
    </rPh>
    <rPh sb="26" eb="28">
      <t>トリクミ</t>
    </rPh>
    <rPh sb="29" eb="31">
      <t>ウキ</t>
    </rPh>
    <phoneticPr fontId="7"/>
  </si>
  <si>
    <t>※ 販売拠点構築の取組のみを行う場合は展示会出展費は計上できません</t>
  </si>
  <si>
    <t>販売拠点構築の取組</t>
  </si>
  <si>
    <t>⑥展示会等出展費</t>
    <phoneticPr fontId="7"/>
  </si>
  <si>
    <t>①、②、⑦、⑨、➉の合計額の1/2</t>
    <rPh sb="12" eb="13">
      <t>ガク</t>
    </rPh>
    <phoneticPr fontId="7"/>
  </si>
  <si>
    <t>定額【①、②、⑦、⑨、➉】の合計額</t>
    <rPh sb="0" eb="2">
      <t>テイガク</t>
    </rPh>
    <rPh sb="16" eb="17">
      <t>ガク</t>
    </rPh>
    <phoneticPr fontId="7"/>
  </si>
  <si>
    <t>⑩委託・外注費</t>
    <phoneticPr fontId="7"/>
  </si>
  <si>
    <t>⑩委託・外注費の上限判定</t>
    <rPh sb="8" eb="10">
      <t>ジョウゲン</t>
    </rPh>
    <rPh sb="10" eb="12">
      <t>ハンテイ</t>
    </rPh>
    <phoneticPr fontId="7"/>
  </si>
  <si>
    <t>判定</t>
    <rPh sb="0" eb="2">
      <t>ハンテイ</t>
    </rPh>
    <phoneticPr fontId="7"/>
  </si>
  <si>
    <t>①</t>
    <phoneticPr fontId="7"/>
  </si>
  <si>
    <t>②</t>
    <phoneticPr fontId="7"/>
  </si>
  <si>
    <t>③</t>
    <phoneticPr fontId="7"/>
  </si>
  <si>
    <t>④</t>
    <phoneticPr fontId="7"/>
  </si>
  <si>
    <t>⑤</t>
    <phoneticPr fontId="7"/>
  </si>
  <si>
    <t>⑥</t>
    <phoneticPr fontId="7"/>
  </si>
  <si>
    <t>⑦</t>
    <phoneticPr fontId="7"/>
  </si>
  <si>
    <t>⑧</t>
    <phoneticPr fontId="7"/>
  </si>
  <si>
    <t>⑨</t>
    <phoneticPr fontId="7"/>
  </si>
  <si>
    <t>⑩</t>
    <phoneticPr fontId="7"/>
  </si>
  <si>
    <t>※⑩委託・外注費の上限は経費区分①、②、⑦、⑨、➉の合計額の1/2以内</t>
    <phoneticPr fontId="7"/>
  </si>
  <si>
    <t>株式会社××パートナー</t>
  </si>
  <si>
    <t>10月</t>
  </si>
  <si>
    <t>株式会社○○トラベル</t>
  </si>
  <si>
    <t>●●旅客鉄道株式会社</t>
  </si>
  <si>
    <t>■■ホテル</t>
  </si>
  <si>
    <t>サイト</t>
  </si>
  <si>
    <t>●●●オンラインストア</t>
  </si>
  <si>
    <t>ECサイト構費(ランニングコスト)
●システム利用料・月額費用: サーバー代、プラットフォーム利用料(100,000円×5カ月)</t>
  </si>
  <si>
    <t>式</t>
  </si>
  <si>
    <t>■■展示会のブース装飾費
1式の内訳(デザイン、パネル、照明)</t>
  </si>
  <si>
    <t>オンラインショップ●●</t>
  </si>
  <si>
    <t>パンフレットの翻訳代（中国語、韓国語、英語）</t>
  </si>
  <si>
    <t>展示会の運営マニュアルの作成
※ 業務フロー（設営〜撤去まで）、スタッフのシフト・配置図、ブース内の備品リストと配置場所、よくある質問（FAQ）とトークスクリプトトラブル発生時の対応手順（システム障害、来場者対応）</t>
  </si>
  <si>
    <t>株式会社■■サポート</t>
  </si>
  <si>
    <t>●●印刷株式会社</t>
    <rPh sb="2" eb="4">
      <t>インサツ</t>
    </rPh>
    <rPh sb="4" eb="8">
      <t>カブシキカイシャ</t>
    </rPh>
    <phoneticPr fontId="7"/>
  </si>
  <si>
    <t>①謝金</t>
    <phoneticPr fontId="7"/>
  </si>
  <si>
    <t>取組別の参画事業者数</t>
    <rPh sb="2" eb="3">
      <t>ベツ</t>
    </rPh>
    <rPh sb="4" eb="9">
      <t>サンカクジギョウシャ</t>
    </rPh>
    <rPh sb="9" eb="10">
      <t>スウ</t>
    </rPh>
    <phoneticPr fontId="7"/>
  </si>
  <si>
    <t>※　補助上限額</t>
    <rPh sb="2" eb="4">
      <t>ホジョ</t>
    </rPh>
    <rPh sb="4" eb="7">
      <t>ジョウゲンガク</t>
    </rPh>
    <phoneticPr fontId="7"/>
  </si>
  <si>
    <t>　全ての取組の参画事業者が 10 者以上：3,000 万円</t>
    <rPh sb="1" eb="2">
      <t>スベ</t>
    </rPh>
    <rPh sb="4" eb="6">
      <t>トリクミ</t>
    </rPh>
    <phoneticPr fontId="7"/>
  </si>
  <si>
    <t>　全ての取組の参画事業者が 5 者以上 9 者以下：2,000 万円</t>
    <phoneticPr fontId="7"/>
  </si>
  <si>
    <t>←様式2-2(参画事業者一覧)から人数を転記してください。</t>
    <rPh sb="7" eb="14">
      <t>サンカクジギョウシャイチラン</t>
    </rPh>
    <rPh sb="17" eb="19">
      <t>ニンズ</t>
    </rPh>
    <rPh sb="20" eb="22">
      <t>テンキ</t>
    </rPh>
    <phoneticPr fontId="7"/>
  </si>
  <si>
    <t>補助上限額</t>
    <rPh sb="0" eb="5">
      <t>ホジョジョウゲンガク</t>
    </rPh>
    <phoneticPr fontId="7"/>
  </si>
  <si>
    <t>←全ての事業者数を転記</t>
    <rPh sb="1" eb="2">
      <t>スベ</t>
    </rPh>
    <rPh sb="4" eb="7">
      <t>ジギョウシャ</t>
    </rPh>
    <rPh sb="7" eb="8">
      <t>スウ</t>
    </rPh>
    <rPh sb="9" eb="11">
      <t>テンキ</t>
    </rPh>
    <phoneticPr fontId="7"/>
  </si>
  <si>
    <t>←参画事業者の要件を満たす事業者数を転記</t>
    <rPh sb="1" eb="6">
      <t>サンカクジギョウシャ</t>
    </rPh>
    <rPh sb="7" eb="9">
      <t>ヨウケン</t>
    </rPh>
    <rPh sb="10" eb="11">
      <t>ミ</t>
    </rPh>
    <rPh sb="13" eb="16">
      <t>ジギョウシャ</t>
    </rPh>
    <rPh sb="16" eb="17">
      <t>スウ</t>
    </rPh>
    <phoneticPr fontId="7"/>
  </si>
  <si>
    <t>全取組のうち最小の参画事業者数</t>
    <rPh sb="0" eb="3">
      <t>ゼントリクミ</t>
    </rPh>
    <rPh sb="6" eb="8">
      <t>サイショウ</t>
    </rPh>
    <rPh sb="9" eb="14">
      <t>サンカクジギョウシャ</t>
    </rPh>
    <rPh sb="14" eb="15">
      <t>スウ</t>
    </rPh>
    <phoneticPr fontId="7"/>
  </si>
  <si>
    <t>万円</t>
    <rPh sb="0" eb="2">
      <t>マンエン</t>
    </rPh>
    <phoneticPr fontId="7"/>
  </si>
  <si>
    <t>(ⅰ)</t>
    <phoneticPr fontId="7"/>
  </si>
  <si>
    <t>(ⅱ)</t>
    <phoneticPr fontId="7"/>
  </si>
  <si>
    <t>(ⅲ)</t>
    <phoneticPr fontId="7"/>
  </si>
  <si>
    <t>➉と「①、②、⑦、⑨」の差額</t>
    <rPh sb="12" eb="14">
      <t>サガク</t>
    </rPh>
    <phoneticPr fontId="7"/>
  </si>
  <si>
    <t>※　×は1/2まで減額調整</t>
    <rPh sb="9" eb="13">
      <t>ゲンガクチョウセイ</t>
    </rPh>
    <phoneticPr fontId="7"/>
  </si>
  <si>
    <t>(ⅳ)</t>
    <phoneticPr fontId="7"/>
  </si>
  <si>
    <t>補助金要望額の上限判定</t>
    <rPh sb="7" eb="9">
      <t>ジョウゲン</t>
    </rPh>
    <rPh sb="9" eb="11">
      <t>ハンテイ</t>
    </rPh>
    <phoneticPr fontId="7"/>
  </si>
  <si>
    <t>①～➉の合計額</t>
    <rPh sb="6" eb="7">
      <t>ガク</t>
    </rPh>
    <phoneticPr fontId="7"/>
  </si>
  <si>
    <t>上限額の超過</t>
    <rPh sb="0" eb="3">
      <t>ジョウゲンガク</t>
    </rPh>
    <rPh sb="4" eb="6">
      <t>チョウカ</t>
    </rPh>
    <phoneticPr fontId="7"/>
  </si>
  <si>
    <t>(a)</t>
    <phoneticPr fontId="7"/>
  </si>
  <si>
    <t>※　×は補助上限額まで減額調整</t>
    <rPh sb="4" eb="6">
      <t>ホジョ</t>
    </rPh>
    <rPh sb="6" eb="9">
      <t>ジョウゲンガク</t>
    </rPh>
    <rPh sb="11" eb="15">
      <t>ゲンガクチョウセイ</t>
    </rPh>
    <phoneticPr fontId="7"/>
  </si>
  <si>
    <t>Ⓒと（Ⓐ＋Ⓑ）の差額</t>
    <rPh sb="8" eb="10">
      <t>サガク</t>
    </rPh>
    <phoneticPr fontId="7"/>
  </si>
  <si>
    <t>Ⓐと手当方法の合計金額の差額</t>
    <rPh sb="7" eb="11">
      <t>ゴウケイキンガク</t>
    </rPh>
    <rPh sb="12" eb="14">
      <t>サガク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</si>
</sst>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
  </numFmts>
  <fonts count="59">
    <font>
      <sz val="10"/>
      <color theme="4" tint="-0.24994659260841701"/>
      <name val="Meiryo UI"/>
      <family val="3"/>
      <charset val="128"/>
    </font>
    <font>
      <sz val="10"/>
      <color theme="4" tint="-0.24994659260841701"/>
      <name val="Meiryo UI"/>
      <family val="3"/>
      <charset val="128"/>
    </font>
    <font>
      <sz val="6"/>
      <name val="ＭＳ Ｐゴシック"/>
      <family val="3"/>
      <charset val="128"/>
    </font>
    <font>
      <sz val="12"/>
      <color theme="0"/>
      <name val="Meiryo UI"/>
      <family val="3"/>
      <charset val="128"/>
    </font>
    <font>
      <sz val="11"/>
      <color theme="3"/>
      <name val="Meiryo UI"/>
      <family val="3"/>
      <charset val="128"/>
    </font>
    <font>
      <sz val="18"/>
      <color theme="3"/>
      <name val="Meiryo UI"/>
      <family val="3"/>
      <charset val="128"/>
    </font>
    <font>
      <sz val="11"/>
      <color theme="1"/>
      <name val="Meiryo UI"/>
      <family val="3"/>
      <charset val="128"/>
    </font>
    <font>
      <sz val="6"/>
      <name val="Meiryo UI"/>
      <family val="3"/>
      <charset val="128"/>
    </font>
    <font>
      <sz val="11"/>
      <name val="ＭＳ Ｐゴシック"/>
      <family val="3"/>
      <charset val="128"/>
    </font>
    <font>
      <sz val="11"/>
      <name val="ＭＳ ゴシック"/>
      <family val="3"/>
      <charset val="128"/>
    </font>
    <font>
      <sz val="6"/>
      <name val="ＭＳ ゴシック"/>
      <family val="3"/>
      <charset val="128"/>
    </font>
    <font>
      <sz val="11"/>
      <color theme="1"/>
      <name val="HGｺﾞｼｯｸM"/>
      <family val="3"/>
      <charset val="128"/>
      <scheme val="minor"/>
    </font>
    <font>
      <sz val="6"/>
      <name val="HGｺﾞｼｯｸM"/>
      <family val="2"/>
      <charset val="128"/>
      <scheme val="minor"/>
    </font>
    <font>
      <sz val="10"/>
      <name val="Meiryo UI"/>
      <family val="3"/>
      <charset val="128"/>
    </font>
    <font>
      <sz val="20"/>
      <name val="Meiryo UI"/>
      <family val="3"/>
      <charset val="128"/>
    </font>
    <font>
      <sz val="12"/>
      <name val="Meiryo UI"/>
      <family val="3"/>
      <charset val="128"/>
    </font>
    <font>
      <sz val="11"/>
      <name val="Meiryo UI"/>
      <family val="3"/>
      <charset val="128"/>
    </font>
    <font>
      <b/>
      <sz val="11"/>
      <name val="Meiryo UI"/>
      <family val="3"/>
      <charset val="128"/>
    </font>
    <font>
      <b/>
      <sz val="11"/>
      <color theme="0"/>
      <name val="Meiryo UI"/>
      <family val="3"/>
      <charset val="128"/>
    </font>
    <font>
      <b/>
      <sz val="13"/>
      <color theme="0"/>
      <name val="Meiryo UI"/>
      <family val="3"/>
      <charset val="128"/>
    </font>
    <font>
      <b/>
      <sz val="10"/>
      <color theme="0"/>
      <name val="Meiryo UI"/>
      <family val="3"/>
      <charset val="128"/>
    </font>
    <font>
      <b/>
      <sz val="20"/>
      <name val="Meiryo UI"/>
      <family val="3"/>
      <charset val="128"/>
    </font>
    <font>
      <sz val="9"/>
      <color indexed="81"/>
      <name val="MS P ゴシック"/>
      <family val="3"/>
      <charset val="128"/>
    </font>
    <font>
      <b/>
      <u/>
      <sz val="14"/>
      <color rgb="FFFF0000"/>
      <name val="Meiryo UI"/>
      <family val="3"/>
      <charset val="128"/>
    </font>
    <font>
      <sz val="11"/>
      <color indexed="81"/>
      <name val="MS P ゴシック"/>
      <family val="3"/>
      <charset val="128"/>
    </font>
    <font>
      <b/>
      <sz val="11"/>
      <color indexed="81"/>
      <name val="MS P ゴシック"/>
      <family val="3"/>
      <charset val="128"/>
    </font>
    <font>
      <sz val="11"/>
      <color rgb="FFFF0000"/>
      <name val="Meiryo UI"/>
      <family val="3"/>
      <charset val="128"/>
    </font>
    <font>
      <sz val="9"/>
      <name val="Meiryo UI"/>
      <family val="3"/>
      <charset val="128"/>
    </font>
    <font>
      <sz val="18"/>
      <color rgb="FF000000"/>
      <name val="Meiryo UI"/>
      <family val="3"/>
      <charset val="128"/>
    </font>
    <font>
      <b/>
      <sz val="11"/>
      <color rgb="FFFF0000"/>
      <name val="Meiryo UI"/>
      <family val="3"/>
      <charset val="128"/>
    </font>
    <font>
      <b/>
      <sz val="9"/>
      <color rgb="FFFF0000"/>
      <name val="Meiryo UI"/>
      <family val="3"/>
      <charset val="128"/>
    </font>
    <font>
      <b/>
      <sz val="8"/>
      <color rgb="FFFF0000"/>
      <name val="Meiryo UI"/>
      <family val="3"/>
      <charset val="128"/>
    </font>
    <font>
      <b/>
      <sz val="11"/>
      <color theme="1"/>
      <name val="Meiryo UI"/>
      <family val="3"/>
      <charset val="128"/>
    </font>
    <font>
      <sz val="10"/>
      <color theme="1"/>
      <name val="Meiryo UI"/>
      <family val="3"/>
      <charset val="128"/>
    </font>
    <font>
      <b/>
      <sz val="10"/>
      <color rgb="FFFF0000"/>
      <name val="Meiryo UI"/>
      <family val="3"/>
      <charset val="128"/>
    </font>
    <font>
      <b/>
      <sz val="14"/>
      <color rgb="FFFF0000"/>
      <name val="Meiryo UI"/>
      <family val="3"/>
      <charset val="128"/>
    </font>
    <font>
      <sz val="14"/>
      <color theme="1"/>
      <name val="Meiryo UI"/>
      <family val="3"/>
      <charset val="128"/>
    </font>
    <font>
      <sz val="10"/>
      <color rgb="FFC00000"/>
      <name val="Meiryo UI"/>
      <family val="3"/>
      <charset val="128"/>
    </font>
    <font>
      <b/>
      <sz val="10"/>
      <color theme="1"/>
      <name val="Meiryo UI"/>
      <family val="3"/>
      <charset val="128"/>
    </font>
    <font>
      <sz val="8"/>
      <color rgb="FFFF0000"/>
      <name val="Meiryo UI"/>
      <family val="3"/>
      <charset val="128"/>
    </font>
    <font>
      <sz val="10"/>
      <color rgb="FF0000FF"/>
      <name val="Meiryo UI"/>
      <family val="3"/>
      <charset val="128"/>
    </font>
    <font>
      <b/>
      <sz val="11"/>
      <color rgb="FF0000FF"/>
      <name val="Meiryo UI"/>
      <family val="3"/>
      <charset val="128"/>
    </font>
    <font>
      <sz val="12"/>
      <color rgb="FF000000"/>
      <name val="Meiryo UI"/>
      <family val="3"/>
      <charset val="128"/>
    </font>
    <font>
      <sz val="8"/>
      <name val="Meiryo UI"/>
      <family val="3"/>
      <charset val="128"/>
    </font>
    <font>
      <sz val="8"/>
      <color theme="1"/>
      <name val="Meiryo UI"/>
      <family val="3"/>
      <charset val="128"/>
    </font>
    <font>
      <u/>
      <sz val="10"/>
      <name val="Meiryo UI"/>
      <family val="3"/>
      <charset val="128"/>
    </font>
    <font>
      <sz val="9"/>
      <color indexed="81"/>
      <name val="Meiryo UI"/>
      <family val="3"/>
      <charset val="128"/>
    </font>
    <font>
      <b/>
      <sz val="9"/>
      <color indexed="81"/>
      <name val="Meiryo UI"/>
      <family val="3"/>
      <charset val="128"/>
    </font>
    <font>
      <sz val="10"/>
      <color indexed="81"/>
      <name val="Meiryo UI"/>
      <family val="3"/>
      <charset val="128"/>
    </font>
    <font>
      <sz val="10"/>
      <color indexed="81"/>
      <name val="MS P ゴシック"/>
      <family val="3"/>
      <charset val="128"/>
    </font>
    <font>
      <b/>
      <sz val="9"/>
      <color indexed="81"/>
      <name val="MS P ゴシック"/>
      <family val="3"/>
      <charset val="128"/>
    </font>
    <font>
      <sz val="13"/>
      <name val="Meiryo UI"/>
      <family val="3"/>
      <charset val="128"/>
    </font>
    <font>
      <sz val="13"/>
      <color theme="0"/>
      <name val="Meiryo UI"/>
      <family val="3"/>
      <charset val="128"/>
    </font>
    <font>
      <sz val="10"/>
      <color theme="0"/>
      <name val="Meiryo UI"/>
      <family val="3"/>
      <charset val="128"/>
    </font>
    <font>
      <sz val="10"/>
      <color rgb="FFFF0000"/>
      <name val="Meiryo UI"/>
      <family val="3"/>
      <charset val="128"/>
    </font>
    <font>
      <b/>
      <sz val="8"/>
      <color indexed="81"/>
      <name val="MS P ゴシック"/>
      <family val="3"/>
      <charset val="128"/>
    </font>
    <font>
      <sz val="8"/>
      <color indexed="81"/>
      <name val="MS P ゴシック"/>
      <family val="3"/>
      <charset val="128"/>
    </font>
    <font>
      <b/>
      <sz val="8"/>
      <name val="Meiryo UI"/>
      <family val="3"/>
      <charset val="128"/>
    </font>
    <font>
      <sz val="6"/>
      <color rgb="FFFF0000"/>
      <name val="Meiryo UI"/>
      <family val="3"/>
      <charset val="128"/>
    </font>
  </fonts>
  <fills count="6">
    <fill>
      <patternFill patternType="none"/>
    </fill>
    <fill>
      <patternFill patternType="gray125"/>
    </fill>
    <fill>
      <patternFill patternType="solid">
        <fgColor theme="4" tint="-0.499984740745262"/>
        <bgColor indexed="64"/>
      </patternFill>
    </fill>
    <fill>
      <patternFill patternType="solid">
        <fgColor rgb="FFCCFFFF"/>
        <bgColor indexed="64"/>
      </patternFill>
    </fill>
    <fill>
      <patternFill patternType="solid">
        <fgColor rgb="FF15D348"/>
        <bgColor indexed="64"/>
      </patternFill>
    </fill>
    <fill>
      <patternFill patternType="solid">
        <fgColor rgb="FFFFFF99"/>
        <bgColor indexed="64"/>
      </patternFill>
    </fill>
  </fills>
  <borders count="58">
    <border>
      <left/>
      <right/>
      <top/>
      <bottom/>
      <diagonal/>
    </border>
    <border>
      <left style="thin">
        <color theme="0"/>
      </left>
      <right style="thin">
        <color theme="0"/>
      </right>
      <top style="thin">
        <color theme="0"/>
      </top>
      <bottom style="thin">
        <color theme="0"/>
      </bottom>
      <diagonal/>
    </border>
    <border>
      <left style="dotted">
        <color theme="0" tint="-0.249977111117893"/>
      </left>
      <right style="dotted">
        <color theme="0" tint="-0.249977111117893"/>
      </right>
      <top style="dotted">
        <color theme="0" tint="-0.249977111117893"/>
      </top>
      <bottom style="dotted">
        <color theme="0" tint="-0.249977111117893"/>
      </bottom>
      <diagonal/>
    </border>
    <border>
      <left style="dotted">
        <color theme="0" tint="-0.249977111117893"/>
      </left>
      <right style="dotted">
        <color theme="0" tint="-0.249977111117893"/>
      </right>
      <top/>
      <bottom style="dotted">
        <color theme="0" tint="-0.249977111117893"/>
      </bottom>
      <diagonal/>
    </border>
    <border>
      <left/>
      <right/>
      <top/>
      <bottom style="medium">
        <color theme="4" tint="0.39997558519241921"/>
      </bottom>
      <diagonal/>
    </border>
    <border>
      <left/>
      <right/>
      <top style="thin">
        <color theme="4"/>
      </top>
      <bottom style="double">
        <color theme="4"/>
      </bottom>
      <diagonal/>
    </border>
    <border>
      <left/>
      <right style="dotted">
        <color theme="0" tint="-0.249977111117893"/>
      </right>
      <top/>
      <bottom style="dotted">
        <color theme="0" tint="-0.249977111117893"/>
      </bottom>
      <diagonal/>
    </border>
    <border>
      <left/>
      <right style="dotted">
        <color theme="0" tint="-0.249977111117893"/>
      </right>
      <top style="dotted">
        <color theme="0" tint="-0.249977111117893"/>
      </top>
      <bottom style="dotted">
        <color theme="0" tint="-0.249977111117893"/>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hair">
        <color auto="1"/>
      </left>
      <right style="thin">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thin">
        <color indexed="64"/>
      </left>
      <right style="thin">
        <color auto="1"/>
      </right>
      <top/>
      <bottom/>
      <diagonal/>
    </border>
    <border diagonalDown="1">
      <left style="thin">
        <color indexed="64"/>
      </left>
      <right style="thin">
        <color indexed="64"/>
      </right>
      <top style="hair">
        <color indexed="64"/>
      </top>
      <bottom style="double">
        <color indexed="64"/>
      </bottom>
      <diagonal style="thin">
        <color indexed="64"/>
      </diagonal>
    </border>
    <border diagonalDown="1">
      <left style="thin">
        <color indexed="64"/>
      </left>
      <right style="thin">
        <color indexed="64"/>
      </right>
      <top style="thin">
        <color indexed="64"/>
      </top>
      <bottom style="thin">
        <color indexed="64"/>
      </bottom>
      <diagonal style="thin">
        <color indexed="64"/>
      </diagonal>
    </border>
    <border>
      <left style="hair">
        <color auto="1"/>
      </left>
      <right/>
      <top/>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hair">
        <color indexed="64"/>
      </bottom>
      <diagonal/>
    </border>
    <border>
      <left/>
      <right/>
      <top/>
      <bottom style="hair">
        <color auto="1"/>
      </bottom>
      <diagonal/>
    </border>
    <border>
      <left style="hair">
        <color auto="1"/>
      </left>
      <right style="thin">
        <color auto="1"/>
      </right>
      <top/>
      <bottom style="hair">
        <color auto="1"/>
      </bottom>
      <diagonal/>
    </border>
    <border>
      <left/>
      <right style="thin">
        <color indexed="64"/>
      </right>
      <top/>
      <bottom style="hair">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top/>
      <bottom style="thin">
        <color theme="0"/>
      </bottom>
      <diagonal/>
    </border>
    <border>
      <left style="thin">
        <color indexed="64"/>
      </left>
      <right/>
      <top style="double">
        <color indexed="64"/>
      </top>
      <bottom style="double">
        <color indexed="64"/>
      </bottom>
      <diagonal/>
    </border>
    <border diagonalDown="1">
      <left style="thin">
        <color indexed="64"/>
      </left>
      <right style="thin">
        <color indexed="64"/>
      </right>
      <top style="double">
        <color indexed="64"/>
      </top>
      <bottom style="thin">
        <color indexed="64"/>
      </bottom>
      <diagonal style="thin">
        <color indexed="64"/>
      </diagonal>
    </border>
    <border>
      <left style="thin">
        <color indexed="64"/>
      </left>
      <right style="thin">
        <color auto="1"/>
      </right>
      <top/>
      <bottom style="double">
        <color indexed="64"/>
      </bottom>
      <diagonal/>
    </border>
    <border>
      <left/>
      <right/>
      <top/>
      <bottom style="double">
        <color indexed="64"/>
      </bottom>
      <diagonal/>
    </border>
    <border diagonalDown="1">
      <left style="thin">
        <color indexed="64"/>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top/>
      <bottom style="thin">
        <color indexed="64"/>
      </bottom>
      <diagonal/>
    </border>
    <border>
      <left/>
      <right style="thin">
        <color indexed="64"/>
      </right>
      <top/>
      <bottom style="thin">
        <color indexed="64"/>
      </bottom>
      <diagonal/>
    </border>
    <border>
      <left/>
      <right/>
      <top style="hair">
        <color auto="1"/>
      </top>
      <bottom style="double">
        <color auto="1"/>
      </bottom>
      <diagonal/>
    </border>
    <border>
      <left style="hair">
        <color auto="1"/>
      </left>
      <right style="thin">
        <color auto="1"/>
      </right>
      <top style="hair">
        <color auto="1"/>
      </top>
      <bottom style="double">
        <color auto="1"/>
      </bottom>
      <diagonal/>
    </border>
    <border>
      <left style="hair">
        <color auto="1"/>
      </left>
      <right/>
      <top style="hair">
        <color auto="1"/>
      </top>
      <bottom style="double">
        <color auto="1"/>
      </bottom>
      <diagonal/>
    </border>
    <border diagonalDown="1">
      <left style="thin">
        <color indexed="64"/>
      </left>
      <right style="thin">
        <color indexed="64"/>
      </right>
      <top/>
      <bottom style="double">
        <color indexed="64"/>
      </bottom>
      <diagonal style="thin">
        <color indexed="64"/>
      </diagonal>
    </border>
    <border>
      <left style="thin">
        <color indexed="64"/>
      </left>
      <right style="thin">
        <color auto="1"/>
      </right>
      <top style="double">
        <color indexed="64"/>
      </top>
      <bottom/>
      <diagonal/>
    </border>
    <border>
      <left/>
      <right/>
      <top style="hair">
        <color auto="1"/>
      </top>
      <bottom style="thin">
        <color auto="1"/>
      </bottom>
      <diagonal/>
    </border>
    <border>
      <left/>
      <right/>
      <top style="thin">
        <color indexed="64"/>
      </top>
      <bottom style="thin">
        <color indexed="64"/>
      </bottom>
      <diagonal/>
    </border>
  </borders>
  <cellStyleXfs count="12">
    <xf numFmtId="0" fontId="0" fillId="0" borderId="0"/>
    <xf numFmtId="0" fontId="3" fillId="2" borderId="1" applyNumberFormat="0" applyProtection="0">
      <alignment horizontal="left" vertical="center" indent="1"/>
    </xf>
    <xf numFmtId="0" fontId="3" fillId="2" borderId="1" applyNumberFormat="0" applyProtection="0">
      <alignment horizontal="center" vertical="center"/>
    </xf>
    <xf numFmtId="0" fontId="5" fillId="0" borderId="0" applyNumberFormat="0" applyFill="0" applyBorder="0" applyAlignment="0" applyProtection="0">
      <alignment vertical="center"/>
    </xf>
    <xf numFmtId="0" fontId="4" fillId="0" borderId="4" applyNumberFormat="0" applyFill="0" applyAlignment="0" applyProtection="0">
      <alignment vertical="center"/>
    </xf>
    <xf numFmtId="0" fontId="4" fillId="0" borderId="0" applyNumberFormat="0" applyFill="0" applyBorder="0" applyAlignment="0" applyProtection="0">
      <alignment vertical="center"/>
    </xf>
    <xf numFmtId="0" fontId="6" fillId="0" borderId="5" applyNumberFormat="0" applyFill="0" applyAlignment="0" applyProtection="0">
      <alignment vertical="center"/>
    </xf>
    <xf numFmtId="38" fontId="1" fillId="0" borderId="0" applyFont="0" applyFill="0" applyBorder="0" applyAlignment="0" applyProtection="0">
      <alignment vertical="center"/>
    </xf>
    <xf numFmtId="0" fontId="8" fillId="0" borderId="0"/>
    <xf numFmtId="0" fontId="9" fillId="0" borderId="0">
      <alignment vertical="center"/>
    </xf>
    <xf numFmtId="38" fontId="11" fillId="0" borderId="0" applyFont="0" applyFill="0" applyBorder="0" applyAlignment="0" applyProtection="0">
      <alignment vertical="center"/>
    </xf>
    <xf numFmtId="9" fontId="1" fillId="0" borderId="0" applyFont="0" applyFill="0" applyBorder="0" applyAlignment="0" applyProtection="0">
      <alignment vertical="center"/>
    </xf>
  </cellStyleXfs>
  <cellXfs count="250">
    <xf numFmtId="0" fontId="0" fillId="0" borderId="0" xfId="0"/>
    <xf numFmtId="0" fontId="13" fillId="0" borderId="0" xfId="0" applyFont="1"/>
    <xf numFmtId="0" fontId="14" fillId="0" borderId="0" xfId="0" applyFont="1" applyAlignment="1">
      <alignment shrinkToFit="1"/>
    </xf>
    <xf numFmtId="176" fontId="13" fillId="0" borderId="0" xfId="0" applyNumberFormat="1" applyFont="1" applyAlignment="1">
      <alignment vertical="center"/>
    </xf>
    <xf numFmtId="38" fontId="13" fillId="0" borderId="0" xfId="7" applyFont="1" applyFill="1" applyAlignment="1"/>
    <xf numFmtId="0" fontId="13" fillId="0" borderId="0" xfId="0" applyFont="1" applyAlignment="1">
      <alignment horizontal="center"/>
    </xf>
    <xf numFmtId="0" fontId="16" fillId="0" borderId="0" xfId="0" applyFont="1"/>
    <xf numFmtId="0" fontId="16" fillId="0" borderId="0" xfId="0" applyFont="1" applyAlignment="1">
      <alignment vertical="center" shrinkToFit="1"/>
    </xf>
    <xf numFmtId="14" fontId="16" fillId="0" borderId="3" xfId="0" applyNumberFormat="1" applyFont="1" applyBorder="1" applyAlignment="1">
      <alignment horizontal="center" vertical="center" shrinkToFit="1"/>
    </xf>
    <xf numFmtId="14" fontId="16" fillId="0" borderId="6" xfId="0" applyNumberFormat="1" applyFont="1" applyBorder="1" applyAlignment="1">
      <alignment horizontal="center" vertical="center" shrinkToFit="1"/>
    </xf>
    <xf numFmtId="14" fontId="16" fillId="0" borderId="2" xfId="0" applyNumberFormat="1" applyFont="1" applyBorder="1" applyAlignment="1">
      <alignment vertical="center" shrinkToFit="1"/>
    </xf>
    <xf numFmtId="14" fontId="16" fillId="0" borderId="7" xfId="0" applyNumberFormat="1" applyFont="1" applyBorder="1" applyAlignment="1">
      <alignment vertical="center" shrinkToFit="1"/>
    </xf>
    <xf numFmtId="14" fontId="16" fillId="0" borderId="2" xfId="0" applyNumberFormat="1" applyFont="1" applyBorder="1" applyAlignment="1">
      <alignment horizontal="center" vertical="center" shrinkToFit="1"/>
    </xf>
    <xf numFmtId="14" fontId="16" fillId="0" borderId="7" xfId="0" applyNumberFormat="1" applyFont="1" applyBorder="1" applyAlignment="1">
      <alignment horizontal="center" vertical="center" shrinkToFit="1"/>
    </xf>
    <xf numFmtId="0" fontId="13" fillId="0" borderId="0" xfId="0" applyFont="1" applyAlignment="1">
      <alignment shrinkToFit="1"/>
    </xf>
    <xf numFmtId="176" fontId="13" fillId="0" borderId="0" xfId="0" applyNumberFormat="1" applyFont="1"/>
    <xf numFmtId="0" fontId="13" fillId="0" borderId="0" xfId="0" applyFont="1" applyAlignment="1">
      <alignment horizontal="left"/>
    </xf>
    <xf numFmtId="0" fontId="16" fillId="0" borderId="35" xfId="0" applyFont="1" applyBorder="1" applyAlignment="1">
      <alignment horizontal="right" vertical="center" shrinkToFit="1"/>
    </xf>
    <xf numFmtId="176" fontId="16" fillId="0" borderId="35" xfId="0" applyNumberFormat="1" applyFont="1" applyBorder="1" applyAlignment="1">
      <alignment vertical="center"/>
    </xf>
    <xf numFmtId="0" fontId="21" fillId="0" borderId="0" xfId="0" applyFont="1" applyAlignment="1">
      <alignment shrinkToFit="1"/>
    </xf>
    <xf numFmtId="0" fontId="15" fillId="0" borderId="0" xfId="0" applyFont="1" applyAlignment="1">
      <alignment horizontal="right" vertical="top"/>
    </xf>
    <xf numFmtId="0" fontId="23" fillId="0" borderId="0" xfId="0" applyFont="1" applyAlignment="1">
      <alignment horizontal="left" vertical="center" wrapText="1"/>
    </xf>
    <xf numFmtId="176" fontId="16" fillId="0" borderId="43" xfId="0" applyNumberFormat="1" applyFont="1" applyBorder="1" applyAlignment="1">
      <alignment vertical="center"/>
    </xf>
    <xf numFmtId="0" fontId="17" fillId="0" borderId="0" xfId="1" applyFont="1" applyFill="1" applyBorder="1" applyAlignment="1">
      <alignment horizontal="center" vertical="center"/>
    </xf>
    <xf numFmtId="0" fontId="17" fillId="0" borderId="0" xfId="1" applyFont="1" applyFill="1" applyBorder="1" applyAlignment="1">
      <alignment horizontal="center" vertical="center" wrapText="1"/>
    </xf>
    <xf numFmtId="176" fontId="16" fillId="0" borderId="45" xfId="0" applyNumberFormat="1" applyFont="1" applyBorder="1" applyAlignment="1">
      <alignment vertical="center"/>
    </xf>
    <xf numFmtId="0" fontId="26" fillId="0" borderId="0" xfId="0" applyFont="1" applyAlignment="1">
      <alignment vertical="center"/>
    </xf>
    <xf numFmtId="0" fontId="28" fillId="0" borderId="0" xfId="0" applyFont="1"/>
    <xf numFmtId="0" fontId="16" fillId="0" borderId="31" xfId="0" applyFont="1" applyBorder="1" applyAlignment="1">
      <alignment horizontal="center" vertical="center" shrinkToFit="1"/>
    </xf>
    <xf numFmtId="0" fontId="16" fillId="0" borderId="45" xfId="0" applyFont="1" applyBorder="1" applyAlignment="1">
      <alignment horizontal="center" vertical="center" shrinkToFit="1"/>
    </xf>
    <xf numFmtId="0" fontId="15" fillId="0" borderId="0" xfId="0" applyFont="1" applyAlignment="1">
      <alignment horizontal="left" vertical="top"/>
    </xf>
    <xf numFmtId="0" fontId="16" fillId="0" borderId="0" xfId="8" applyFont="1" applyAlignment="1">
      <alignment vertical="center"/>
    </xf>
    <xf numFmtId="0" fontId="16" fillId="0" borderId="0" xfId="8" applyFont="1" applyAlignment="1">
      <alignment horizontal="center" vertical="center"/>
    </xf>
    <xf numFmtId="0" fontId="29" fillId="0" borderId="0" xfId="8" applyFont="1" applyAlignment="1">
      <alignment vertical="center"/>
    </xf>
    <xf numFmtId="0" fontId="6" fillId="0" borderId="0" xfId="8" applyFont="1" applyAlignment="1">
      <alignment vertical="center"/>
    </xf>
    <xf numFmtId="0" fontId="17" fillId="0" borderId="0" xfId="8" applyFont="1" applyAlignment="1">
      <alignment horizontal="right" vertical="center"/>
    </xf>
    <xf numFmtId="0" fontId="13" fillId="0" borderId="0" xfId="8" applyFont="1" applyAlignment="1">
      <alignment horizontal="right" vertical="center"/>
    </xf>
    <xf numFmtId="0" fontId="17" fillId="0" borderId="0" xfId="8" applyFont="1" applyAlignment="1">
      <alignment horizontal="center" vertical="center"/>
    </xf>
    <xf numFmtId="0" fontId="30" fillId="0" borderId="0" xfId="8" applyFont="1" applyAlignment="1">
      <alignment horizontal="left" vertical="center"/>
    </xf>
    <xf numFmtId="0" fontId="31" fillId="0" borderId="0" xfId="8" applyFont="1" applyAlignment="1">
      <alignment horizontal="left" vertical="center"/>
    </xf>
    <xf numFmtId="0" fontId="26" fillId="0" borderId="0" xfId="8" applyFont="1" applyAlignment="1">
      <alignment vertical="center"/>
    </xf>
    <xf numFmtId="0" fontId="30" fillId="0" borderId="0" xfId="8" applyFont="1" applyAlignment="1">
      <alignment vertical="center" shrinkToFit="1"/>
    </xf>
    <xf numFmtId="0" fontId="27" fillId="0" borderId="0" xfId="8" applyFont="1" applyAlignment="1">
      <alignment horizontal="left" vertical="center"/>
    </xf>
    <xf numFmtId="0" fontId="30" fillId="0" borderId="0" xfId="9" applyFont="1">
      <alignment vertical="center"/>
    </xf>
    <xf numFmtId="49" fontId="32" fillId="0" borderId="8" xfId="8" applyNumberFormat="1" applyFont="1" applyBorder="1" applyAlignment="1">
      <alignment horizontal="left" vertical="center"/>
    </xf>
    <xf numFmtId="0" fontId="32" fillId="0" borderId="8" xfId="8" applyFont="1" applyBorder="1" applyAlignment="1">
      <alignment vertical="center"/>
    </xf>
    <xf numFmtId="0" fontId="32" fillId="0" borderId="0" xfId="8" applyFont="1" applyAlignment="1">
      <alignment horizontal="center" vertical="center"/>
    </xf>
    <xf numFmtId="0" fontId="16" fillId="0" borderId="8" xfId="8" applyFont="1" applyBorder="1" applyAlignment="1">
      <alignment vertical="center"/>
    </xf>
    <xf numFmtId="0" fontId="34" fillId="0" borderId="0" xfId="8" applyFont="1" applyAlignment="1">
      <alignment vertical="center"/>
    </xf>
    <xf numFmtId="0" fontId="35" fillId="0" borderId="0" xfId="8" applyFont="1" applyAlignment="1">
      <alignment vertical="center"/>
    </xf>
    <xf numFmtId="0" fontId="36" fillId="0" borderId="0" xfId="8" applyFont="1" applyAlignment="1">
      <alignment horizontal="center" vertical="center"/>
    </xf>
    <xf numFmtId="12" fontId="16" fillId="0" borderId="14" xfId="8" applyNumberFormat="1" applyFont="1" applyBorder="1" applyAlignment="1">
      <alignment horizontal="center" vertical="center" shrinkToFit="1"/>
    </xf>
    <xf numFmtId="38" fontId="13" fillId="0" borderId="14" xfId="10" applyFont="1" applyFill="1" applyBorder="1" applyAlignment="1" applyProtection="1">
      <alignment horizontal="right" vertical="center" wrapText="1"/>
    </xf>
    <xf numFmtId="38" fontId="13" fillId="0" borderId="14" xfId="10" applyFont="1" applyBorder="1" applyAlignment="1" applyProtection="1">
      <alignment horizontal="right" vertical="center" wrapText="1"/>
    </xf>
    <xf numFmtId="12" fontId="16" fillId="5" borderId="14" xfId="8" applyNumberFormat="1" applyFont="1" applyFill="1" applyBorder="1" applyAlignment="1">
      <alignment horizontal="center" vertical="center" shrinkToFit="1"/>
    </xf>
    <xf numFmtId="38" fontId="13" fillId="5" borderId="14" xfId="10" applyFont="1" applyFill="1" applyBorder="1" applyAlignment="1" applyProtection="1">
      <alignment horizontal="right" vertical="center" wrapText="1"/>
    </xf>
    <xf numFmtId="38" fontId="13" fillId="0" borderId="31" xfId="10" applyFont="1" applyFill="1" applyBorder="1" applyAlignment="1" applyProtection="1">
      <alignment horizontal="right" vertical="center" wrapText="1"/>
    </xf>
    <xf numFmtId="12" fontId="16" fillId="0" borderId="32" xfId="9" applyNumberFormat="1" applyFont="1" applyBorder="1" applyAlignment="1">
      <alignment horizontal="center" vertical="center" shrinkToFit="1"/>
    </xf>
    <xf numFmtId="38" fontId="13" fillId="0" borderId="54" xfId="10" applyFont="1" applyFill="1" applyBorder="1" applyAlignment="1" applyProtection="1">
      <alignment horizontal="right" vertical="center" wrapText="1"/>
    </xf>
    <xf numFmtId="38" fontId="13" fillId="0" borderId="45" xfId="10" applyFont="1" applyBorder="1" applyAlignment="1" applyProtection="1">
      <alignment horizontal="right" vertical="center" wrapText="1"/>
    </xf>
    <xf numFmtId="0" fontId="16" fillId="0" borderId="44" xfId="8" applyFont="1" applyBorder="1" applyAlignment="1">
      <alignment horizontal="center" vertical="center" shrinkToFit="1"/>
    </xf>
    <xf numFmtId="38" fontId="13" fillId="0" borderId="20" xfId="10" applyFont="1" applyBorder="1" applyAlignment="1" applyProtection="1">
      <alignment horizontal="right" vertical="center" wrapText="1"/>
    </xf>
    <xf numFmtId="0" fontId="13" fillId="0" borderId="0" xfId="8" applyFont="1" applyAlignment="1">
      <alignment vertical="center"/>
    </xf>
    <xf numFmtId="0" fontId="33" fillId="0" borderId="0" xfId="9" applyFont="1">
      <alignment vertical="center"/>
    </xf>
    <xf numFmtId="0" fontId="33" fillId="0" borderId="0" xfId="9" applyFont="1" applyAlignment="1">
      <alignment horizontal="center" vertical="center"/>
    </xf>
    <xf numFmtId="0" fontId="37" fillId="0" borderId="0" xfId="8" applyFont="1" applyAlignment="1">
      <alignment vertical="center"/>
    </xf>
    <xf numFmtId="0" fontId="38" fillId="0" borderId="0" xfId="9" applyFont="1" applyAlignment="1">
      <alignment horizontal="left" vertical="center" shrinkToFit="1"/>
    </xf>
    <xf numFmtId="0" fontId="16" fillId="0" borderId="0" xfId="9" applyFont="1">
      <alignment vertical="center"/>
    </xf>
    <xf numFmtId="0" fontId="16" fillId="0" borderId="0" xfId="9" applyFont="1" applyAlignment="1">
      <alignment horizontal="center" vertical="center"/>
    </xf>
    <xf numFmtId="38" fontId="16" fillId="0" borderId="0" xfId="8" applyNumberFormat="1" applyFont="1" applyAlignment="1">
      <alignment vertical="center"/>
    </xf>
    <xf numFmtId="49" fontId="17" fillId="0" borderId="0" xfId="8" applyNumberFormat="1" applyFont="1" applyAlignment="1">
      <alignment vertical="center"/>
    </xf>
    <xf numFmtId="0" fontId="17" fillId="0" borderId="0" xfId="8" applyFont="1" applyAlignment="1">
      <alignment vertical="center"/>
    </xf>
    <xf numFmtId="38" fontId="17" fillId="0" borderId="0" xfId="8" applyNumberFormat="1" applyFont="1" applyAlignment="1">
      <alignment vertical="center"/>
    </xf>
    <xf numFmtId="0" fontId="16" fillId="0" borderId="0" xfId="8" applyFont="1" applyAlignment="1">
      <alignment horizontal="center" vertical="center" shrinkToFit="1"/>
    </xf>
    <xf numFmtId="0" fontId="16" fillId="0" borderId="22" xfId="8" applyFont="1" applyBorder="1" applyAlignment="1">
      <alignment horizontal="center" vertical="center" shrinkToFit="1"/>
    </xf>
    <xf numFmtId="38" fontId="16" fillId="3" borderId="0" xfId="10" applyFont="1" applyFill="1" applyBorder="1" applyAlignment="1" applyProtection="1">
      <alignment horizontal="left" vertical="center" shrinkToFit="1"/>
    </xf>
    <xf numFmtId="38" fontId="16" fillId="0" borderId="0" xfId="10" applyFont="1" applyFill="1" applyBorder="1" applyAlignment="1" applyProtection="1">
      <alignment horizontal="left" vertical="center" shrinkToFit="1"/>
    </xf>
    <xf numFmtId="0" fontId="6" fillId="0" borderId="12" xfId="8" applyFont="1" applyBorder="1" applyAlignment="1">
      <alignment vertical="center" shrinkToFit="1"/>
    </xf>
    <xf numFmtId="0" fontId="30" fillId="0" borderId="0" xfId="8" applyFont="1" applyAlignment="1">
      <alignment vertical="center"/>
    </xf>
    <xf numFmtId="0" fontId="6" fillId="0" borderId="13" xfId="0" applyFont="1" applyBorder="1" applyAlignment="1" applyProtection="1">
      <alignment horizontal="center" vertical="center" shrinkToFit="1"/>
      <protection locked="0"/>
    </xf>
    <xf numFmtId="0" fontId="6" fillId="0" borderId="14" xfId="0" applyFont="1" applyBorder="1" applyAlignment="1" applyProtection="1">
      <alignment horizontal="center" vertical="center" shrinkToFit="1"/>
      <protection locked="0"/>
    </xf>
    <xf numFmtId="176" fontId="16" fillId="0" borderId="40" xfId="0" applyNumberFormat="1" applyFont="1" applyBorder="1" applyAlignment="1">
      <alignment vertical="center"/>
    </xf>
    <xf numFmtId="0" fontId="6" fillId="0" borderId="45" xfId="0" applyFont="1" applyBorder="1" applyAlignment="1" applyProtection="1">
      <alignment horizontal="center" vertical="center" shrinkToFit="1"/>
      <protection locked="0"/>
    </xf>
    <xf numFmtId="0" fontId="16" fillId="0" borderId="45" xfId="0" applyFont="1" applyBorder="1" applyAlignment="1">
      <alignment horizontal="right" vertical="center" shrinkToFit="1"/>
    </xf>
    <xf numFmtId="0" fontId="16" fillId="0" borderId="31" xfId="0" applyFont="1" applyBorder="1" applyAlignment="1">
      <alignment horizontal="right" vertical="center" shrinkToFit="1"/>
    </xf>
    <xf numFmtId="0" fontId="16" fillId="0" borderId="14" xfId="0" applyFont="1" applyBorder="1" applyAlignment="1">
      <alignment horizontal="right" vertical="center" shrinkToFit="1"/>
    </xf>
    <xf numFmtId="0" fontId="18" fillId="4" borderId="22" xfId="0" applyFont="1" applyFill="1" applyBorder="1" applyAlignment="1">
      <alignment horizontal="center" vertical="top" textRotation="255" shrinkToFit="1"/>
    </xf>
    <xf numFmtId="0" fontId="40" fillId="0" borderId="0" xfId="0" applyFont="1" applyAlignment="1">
      <alignment horizontal="left" vertical="top"/>
    </xf>
    <xf numFmtId="0" fontId="16" fillId="0" borderId="0" xfId="0" applyFont="1" applyAlignment="1">
      <alignment vertical="center"/>
    </xf>
    <xf numFmtId="0" fontId="41" fillId="0" borderId="0" xfId="0" applyFont="1" applyAlignment="1">
      <alignment vertical="center"/>
    </xf>
    <xf numFmtId="0" fontId="21" fillId="0" borderId="0" xfId="0" applyFont="1" applyAlignment="1">
      <alignment horizontal="center" vertical="center" shrinkToFit="1"/>
    </xf>
    <xf numFmtId="0" fontId="16" fillId="0" borderId="14" xfId="0" applyFont="1" applyBorder="1" applyAlignment="1">
      <alignment horizontal="center" vertical="center" shrinkToFit="1"/>
    </xf>
    <xf numFmtId="0" fontId="16" fillId="0" borderId="35" xfId="0" applyFont="1" applyBorder="1" applyAlignment="1">
      <alignment horizontal="center" vertical="center" shrinkToFit="1"/>
    </xf>
    <xf numFmtId="0" fontId="13" fillId="0" borderId="0" xfId="0" applyFont="1" applyAlignment="1">
      <alignment horizontal="center" vertical="center" shrinkToFit="1"/>
    </xf>
    <xf numFmtId="0" fontId="27" fillId="0" borderId="36" xfId="0" applyFont="1" applyBorder="1" applyAlignment="1" applyProtection="1">
      <alignment horizontal="left" vertical="top" wrapText="1"/>
      <protection locked="0"/>
    </xf>
    <xf numFmtId="0" fontId="27" fillId="0" borderId="39" xfId="0" applyFont="1" applyBorder="1" applyAlignment="1" applyProtection="1">
      <alignment horizontal="left" vertical="top" wrapText="1"/>
      <protection locked="0"/>
    </xf>
    <xf numFmtId="0" fontId="27" fillId="0" borderId="14" xfId="0" applyFont="1" applyBorder="1" applyAlignment="1" applyProtection="1">
      <alignment horizontal="left" vertical="top" wrapText="1"/>
      <protection locked="0"/>
    </xf>
    <xf numFmtId="0" fontId="27" fillId="0" borderId="16" xfId="0" applyFont="1" applyBorder="1" applyAlignment="1" applyProtection="1">
      <alignment horizontal="left" vertical="top" wrapText="1"/>
      <protection locked="0"/>
    </xf>
    <xf numFmtId="0" fontId="27" fillId="0" borderId="19" xfId="0" applyFont="1" applyBorder="1" applyAlignment="1" applyProtection="1">
      <alignment horizontal="left" vertical="top" wrapText="1"/>
      <protection locked="0"/>
    </xf>
    <xf numFmtId="0" fontId="27" fillId="0" borderId="18" xfId="0" applyFont="1" applyBorder="1" applyAlignment="1" applyProtection="1">
      <alignment horizontal="left" vertical="top" wrapText="1"/>
      <protection locked="0"/>
    </xf>
    <xf numFmtId="0" fontId="27" fillId="0" borderId="40" xfId="0" applyFont="1" applyBorder="1" applyAlignment="1" applyProtection="1">
      <alignment horizontal="left" vertical="top" wrapText="1"/>
      <protection locked="0"/>
    </xf>
    <xf numFmtId="0" fontId="27" fillId="0" borderId="41" xfId="0" applyFont="1" applyBorder="1" applyAlignment="1" applyProtection="1">
      <alignment horizontal="left" vertical="top" wrapText="1"/>
      <protection locked="0"/>
    </xf>
    <xf numFmtId="0" fontId="43" fillId="0" borderId="36" xfId="0" applyFont="1" applyBorder="1" applyAlignment="1" applyProtection="1">
      <alignment horizontal="left" vertical="top" wrapText="1"/>
      <protection locked="0"/>
    </xf>
    <xf numFmtId="0" fontId="43" fillId="0" borderId="39" xfId="0" applyFont="1" applyBorder="1" applyAlignment="1" applyProtection="1">
      <alignment horizontal="left" vertical="top" wrapText="1"/>
      <protection locked="0"/>
    </xf>
    <xf numFmtId="14" fontId="43" fillId="0" borderId="3" xfId="0" applyNumberFormat="1" applyFont="1" applyBorder="1" applyAlignment="1">
      <alignment horizontal="center" vertical="center" shrinkToFit="1"/>
    </xf>
    <xf numFmtId="14" fontId="43" fillId="0" borderId="6" xfId="0" applyNumberFormat="1" applyFont="1" applyBorder="1" applyAlignment="1">
      <alignment horizontal="center" vertical="center" shrinkToFit="1"/>
    </xf>
    <xf numFmtId="0" fontId="43" fillId="0" borderId="0" xfId="0" applyFont="1" applyAlignment="1">
      <alignment vertical="center" shrinkToFit="1"/>
    </xf>
    <xf numFmtId="0" fontId="39" fillId="0" borderId="0" xfId="0" applyFont="1" applyAlignment="1">
      <alignment vertical="center"/>
    </xf>
    <xf numFmtId="0" fontId="27" fillId="0" borderId="36" xfId="0" applyFont="1" applyBorder="1" applyAlignment="1" applyProtection="1">
      <alignment vertical="top" wrapText="1"/>
      <protection locked="0"/>
    </xf>
    <xf numFmtId="0" fontId="45" fillId="0" borderId="0" xfId="1" applyFont="1" applyFill="1" applyBorder="1" applyAlignment="1">
      <alignment vertical="center"/>
    </xf>
    <xf numFmtId="38" fontId="13" fillId="0" borderId="36" xfId="7" applyFont="1" applyFill="1" applyBorder="1" applyAlignment="1" applyProtection="1">
      <alignment vertical="center" shrinkToFit="1"/>
      <protection locked="0"/>
    </xf>
    <xf numFmtId="0" fontId="13" fillId="0" borderId="37" xfId="0" applyFont="1" applyBorder="1" applyAlignment="1" applyProtection="1">
      <alignment horizontal="center" vertical="center" shrinkToFit="1"/>
      <protection locked="0"/>
    </xf>
    <xf numFmtId="0" fontId="13" fillId="0" borderId="38" xfId="0" applyFont="1" applyBorder="1" applyAlignment="1" applyProtection="1">
      <alignment horizontal="center" vertical="center" shrinkToFit="1"/>
      <protection locked="0"/>
    </xf>
    <xf numFmtId="0" fontId="13" fillId="0" borderId="0" xfId="0" applyFont="1" applyAlignment="1" applyProtection="1">
      <alignment horizontal="center" vertical="center" shrinkToFit="1"/>
      <protection locked="0"/>
    </xf>
    <xf numFmtId="0" fontId="13" fillId="0" borderId="34" xfId="0" applyFont="1" applyBorder="1" applyAlignment="1" applyProtection="1">
      <alignment horizontal="center" vertical="center" shrinkToFit="1"/>
      <protection locked="0"/>
    </xf>
    <xf numFmtId="38" fontId="13" fillId="0" borderId="14" xfId="7" applyFont="1" applyFill="1" applyBorder="1" applyAlignment="1" applyProtection="1">
      <alignment vertical="center"/>
      <protection locked="0"/>
    </xf>
    <xf numFmtId="0" fontId="13" fillId="0" borderId="29" xfId="0" applyFont="1" applyBorder="1" applyAlignment="1" applyProtection="1">
      <alignment horizontal="center" vertical="center"/>
      <protection locked="0"/>
    </xf>
    <xf numFmtId="0" fontId="13" fillId="0" borderId="28" xfId="0" applyFont="1" applyBorder="1" applyAlignment="1" applyProtection="1">
      <alignment horizontal="center" vertical="center"/>
      <protection locked="0"/>
    </xf>
    <xf numFmtId="0" fontId="13" fillId="0" borderId="30" xfId="0" applyFont="1" applyBorder="1" applyAlignment="1" applyProtection="1">
      <alignment horizontal="center" vertical="center" shrinkToFit="1"/>
      <protection locked="0"/>
    </xf>
    <xf numFmtId="38" fontId="13" fillId="0" borderId="19" xfId="7" applyFont="1" applyFill="1" applyBorder="1" applyAlignment="1" applyProtection="1">
      <alignment vertical="center"/>
      <protection locked="0"/>
    </xf>
    <xf numFmtId="0" fontId="13" fillId="0" borderId="51" xfId="0" applyFont="1" applyBorder="1" applyAlignment="1" applyProtection="1">
      <alignment horizontal="center" vertical="center"/>
      <protection locked="0"/>
    </xf>
    <xf numFmtId="0" fontId="13" fillId="0" borderId="52" xfId="0" applyFont="1" applyBorder="1" applyAlignment="1" applyProtection="1">
      <alignment horizontal="center" vertical="center"/>
      <protection locked="0"/>
    </xf>
    <xf numFmtId="0" fontId="13" fillId="0" borderId="53" xfId="0" applyFont="1" applyBorder="1" applyAlignment="1" applyProtection="1">
      <alignment horizontal="center" vertical="center" shrinkToFit="1"/>
      <protection locked="0"/>
    </xf>
    <xf numFmtId="38" fontId="13" fillId="0" borderId="43" xfId="7" applyFont="1" applyFill="1" applyBorder="1" applyAlignment="1" applyProtection="1">
      <alignment vertical="center"/>
      <protection locked="0"/>
    </xf>
    <xf numFmtId="0" fontId="13" fillId="0" borderId="40" xfId="0" applyFont="1" applyBorder="1" applyAlignment="1" applyProtection="1">
      <alignment horizontal="center" vertical="center"/>
      <protection locked="0"/>
    </xf>
    <xf numFmtId="0" fontId="43" fillId="0" borderId="22" xfId="8" applyFont="1" applyBorder="1" applyAlignment="1">
      <alignment horizontal="center" vertical="center" shrinkToFit="1"/>
    </xf>
    <xf numFmtId="0" fontId="44" fillId="0" borderId="22" xfId="0" applyFont="1" applyBorder="1" applyAlignment="1" applyProtection="1">
      <alignment horizontal="center" vertical="center" shrinkToFit="1"/>
      <protection locked="0"/>
    </xf>
    <xf numFmtId="0" fontId="17" fillId="0" borderId="0" xfId="1" applyFont="1" applyFill="1" applyBorder="1" applyAlignment="1">
      <alignment horizontal="left" vertical="center"/>
    </xf>
    <xf numFmtId="0" fontId="23" fillId="0" borderId="8" xfId="0" applyFont="1" applyBorder="1" applyAlignment="1">
      <alignment horizontal="left" vertical="center" wrapText="1"/>
    </xf>
    <xf numFmtId="0" fontId="23" fillId="0" borderId="8" xfId="0" applyFont="1" applyBorder="1" applyAlignment="1">
      <alignment horizontal="center" vertical="center" wrapText="1"/>
    </xf>
    <xf numFmtId="0" fontId="17" fillId="0" borderId="42" xfId="1" applyFont="1" applyFill="1" applyBorder="1">
      <alignment horizontal="left" vertical="center" indent="1"/>
    </xf>
    <xf numFmtId="0" fontId="42" fillId="0" borderId="0" xfId="0" applyFont="1"/>
    <xf numFmtId="0" fontId="43" fillId="0" borderId="14" xfId="0" applyFont="1" applyBorder="1" applyAlignment="1" applyProtection="1">
      <alignment horizontal="left" vertical="top" wrapText="1"/>
      <protection locked="0"/>
    </xf>
    <xf numFmtId="176" fontId="16" fillId="0" borderId="36" xfId="0" applyNumberFormat="1" applyFont="1" applyBorder="1" applyAlignment="1">
      <alignment vertical="center" shrinkToFit="1"/>
    </xf>
    <xf numFmtId="176" fontId="16" fillId="0" borderId="14" xfId="0" applyNumberFormat="1" applyFont="1" applyBorder="1" applyAlignment="1">
      <alignment vertical="center"/>
    </xf>
    <xf numFmtId="176" fontId="16" fillId="0" borderId="19" xfId="0" applyNumberFormat="1" applyFont="1" applyBorder="1" applyAlignment="1">
      <alignment vertical="center"/>
    </xf>
    <xf numFmtId="176" fontId="16" fillId="0" borderId="31" xfId="0" applyNumberFormat="1" applyFont="1" applyBorder="1" applyAlignment="1">
      <alignment vertical="center" shrinkToFit="1"/>
    </xf>
    <xf numFmtId="0" fontId="16" fillId="0" borderId="46" xfId="0" applyFont="1" applyBorder="1" applyAlignment="1">
      <alignment horizontal="center" vertical="center"/>
    </xf>
    <xf numFmtId="0" fontId="15" fillId="0" borderId="0" xfId="0" applyFont="1" applyAlignment="1">
      <alignment horizontal="right" vertical="center"/>
    </xf>
    <xf numFmtId="0" fontId="52" fillId="0" borderId="31" xfId="0" applyFont="1" applyBorder="1" applyAlignment="1">
      <alignment vertical="center" shrinkToFit="1"/>
    </xf>
    <xf numFmtId="0" fontId="52" fillId="0" borderId="45" xfId="0" applyFont="1" applyBorder="1" applyAlignment="1">
      <alignment vertical="center" shrinkToFit="1"/>
    </xf>
    <xf numFmtId="0" fontId="51" fillId="0" borderId="35" xfId="0" applyFont="1" applyBorder="1" applyAlignment="1">
      <alignment horizontal="right" vertical="center" shrinkToFit="1"/>
    </xf>
    <xf numFmtId="0" fontId="51" fillId="0" borderId="55" xfId="0" applyFont="1" applyBorder="1" applyAlignment="1">
      <alignment vertical="center" shrinkToFit="1"/>
    </xf>
    <xf numFmtId="0" fontId="31" fillId="0" borderId="0" xfId="8" applyFont="1" applyAlignment="1">
      <alignment vertical="center"/>
    </xf>
    <xf numFmtId="0" fontId="13" fillId="0" borderId="55" xfId="0" applyFont="1" applyBorder="1" applyAlignment="1">
      <alignment vertical="center" wrapText="1"/>
    </xf>
    <xf numFmtId="0" fontId="53" fillId="0" borderId="31" xfId="0" applyFont="1" applyBorder="1" applyAlignment="1">
      <alignment vertical="center" wrapText="1"/>
    </xf>
    <xf numFmtId="0" fontId="53" fillId="0" borderId="45" xfId="0" applyFont="1" applyBorder="1" applyAlignment="1">
      <alignment vertical="center" wrapText="1"/>
    </xf>
    <xf numFmtId="38" fontId="27" fillId="0" borderId="22" xfId="8" applyNumberFormat="1" applyFont="1" applyBorder="1" applyAlignment="1">
      <alignment vertical="center" shrinkToFit="1"/>
    </xf>
    <xf numFmtId="0" fontId="16" fillId="0" borderId="22" xfId="8" applyFont="1" applyBorder="1" applyAlignment="1">
      <alignment vertical="center" shrinkToFit="1"/>
    </xf>
    <xf numFmtId="0" fontId="43" fillId="0" borderId="0" xfId="8" applyFont="1" applyAlignment="1">
      <alignment vertical="center"/>
    </xf>
    <xf numFmtId="0" fontId="13" fillId="0" borderId="21" xfId="9" applyFont="1" applyBorder="1">
      <alignment vertical="center"/>
    </xf>
    <xf numFmtId="0" fontId="31" fillId="0" borderId="0" xfId="8" applyFont="1" applyAlignment="1">
      <alignment vertical="center" shrinkToFit="1"/>
    </xf>
    <xf numFmtId="0" fontId="54" fillId="3" borderId="0" xfId="8" applyFont="1" applyFill="1" applyAlignment="1">
      <alignment horizontal="left" vertical="center" shrinkToFit="1"/>
    </xf>
    <xf numFmtId="0" fontId="43" fillId="0" borderId="22" xfId="8" applyFont="1" applyBorder="1" applyAlignment="1">
      <alignment horizontal="center" vertical="center"/>
    </xf>
    <xf numFmtId="177" fontId="27" fillId="0" borderId="29" xfId="11" applyNumberFormat="1" applyFont="1" applyBorder="1" applyAlignment="1" applyProtection="1">
      <alignment vertical="center"/>
    </xf>
    <xf numFmtId="0" fontId="27" fillId="0" borderId="0" xfId="8" applyFont="1" applyAlignment="1">
      <alignment horizontal="right" vertical="center"/>
    </xf>
    <xf numFmtId="38" fontId="27" fillId="0" borderId="0" xfId="8" applyNumberFormat="1" applyFont="1" applyAlignment="1">
      <alignment horizontal="right" vertical="center" shrinkToFit="1"/>
    </xf>
    <xf numFmtId="177" fontId="44" fillId="0" borderId="56" xfId="8" applyNumberFormat="1" applyFont="1" applyBorder="1" applyAlignment="1">
      <alignment vertical="center"/>
    </xf>
    <xf numFmtId="177" fontId="27" fillId="0" borderId="37" xfId="11" applyNumberFormat="1" applyFont="1" applyBorder="1" applyAlignment="1" applyProtection="1">
      <alignment vertical="center"/>
    </xf>
    <xf numFmtId="0" fontId="44" fillId="0" borderId="0" xfId="8" applyFont="1" applyAlignment="1">
      <alignment horizontal="right"/>
    </xf>
    <xf numFmtId="0" fontId="27" fillId="0" borderId="13" xfId="0" applyFont="1" applyBorder="1" applyAlignment="1" applyProtection="1">
      <alignment horizontal="left" vertical="top" wrapText="1"/>
      <protection locked="0"/>
    </xf>
    <xf numFmtId="0" fontId="18" fillId="4" borderId="22" xfId="8" applyFont="1" applyFill="1" applyBorder="1" applyAlignment="1">
      <alignment horizontal="left" vertical="center"/>
    </xf>
    <xf numFmtId="0" fontId="20" fillId="4" borderId="11" xfId="8" applyFont="1" applyFill="1" applyBorder="1" applyAlignment="1">
      <alignment horizontal="center" vertical="center" shrinkToFit="1"/>
    </xf>
    <xf numFmtId="0" fontId="20" fillId="4" borderId="11" xfId="8" applyFont="1" applyFill="1" applyBorder="1" applyAlignment="1">
      <alignment horizontal="center" vertical="center" wrapText="1"/>
    </xf>
    <xf numFmtId="0" fontId="18" fillId="4" borderId="23" xfId="8" applyFont="1" applyFill="1" applyBorder="1" applyAlignment="1">
      <alignment vertical="center"/>
    </xf>
    <xf numFmtId="0" fontId="18" fillId="4" borderId="24" xfId="8" applyFont="1" applyFill="1" applyBorder="1" applyAlignment="1">
      <alignment vertical="center"/>
    </xf>
    <xf numFmtId="0" fontId="18" fillId="4" borderId="57" xfId="8" applyFont="1" applyFill="1" applyBorder="1" applyAlignment="1">
      <alignment vertical="center"/>
    </xf>
    <xf numFmtId="0" fontId="43" fillId="0" borderId="0" xfId="8" applyFont="1" applyAlignment="1">
      <alignment horizontal="left" vertical="center"/>
    </xf>
    <xf numFmtId="0" fontId="57" fillId="0" borderId="0" xfId="8" applyFont="1" applyAlignment="1">
      <alignment horizontal="left" vertical="center" shrinkToFit="1"/>
    </xf>
    <xf numFmtId="0" fontId="58" fillId="0" borderId="21" xfId="8" applyFont="1" applyBorder="1" applyAlignment="1">
      <alignment vertical="center" shrinkToFit="1"/>
    </xf>
    <xf numFmtId="0" fontId="18" fillId="4" borderId="22" xfId="8" applyFont="1" applyFill="1" applyBorder="1" applyAlignment="1">
      <alignment horizontal="left" vertical="center" shrinkToFit="1"/>
    </xf>
    <xf numFmtId="38" fontId="27" fillId="0" borderId="22" xfId="8" applyNumberFormat="1" applyFont="1" applyBorder="1" applyAlignment="1">
      <alignment vertical="center"/>
    </xf>
    <xf numFmtId="0" fontId="43" fillId="0" borderId="0" xfId="8" applyFont="1" applyAlignment="1">
      <alignment vertical="center" shrinkToFit="1"/>
    </xf>
    <xf numFmtId="0" fontId="16" fillId="0" borderId="0" xfId="8" applyFont="1" applyAlignment="1">
      <alignment vertical="center" shrinkToFit="1"/>
    </xf>
    <xf numFmtId="38" fontId="27" fillId="0" borderId="0" xfId="8" applyNumberFormat="1" applyFont="1" applyAlignment="1">
      <alignment vertical="center" shrinkToFit="1"/>
    </xf>
    <xf numFmtId="38" fontId="27" fillId="0" borderId="0" xfId="8" applyNumberFormat="1" applyFont="1" applyAlignment="1">
      <alignment vertical="center"/>
    </xf>
    <xf numFmtId="0" fontId="43" fillId="0" borderId="0" xfId="8" applyFont="1" applyAlignment="1">
      <alignment horizontal="center" vertical="center" shrinkToFit="1"/>
    </xf>
    <xf numFmtId="0" fontId="43" fillId="0" borderId="0" xfId="8" applyFont="1" applyAlignment="1">
      <alignment horizontal="center" vertical="center"/>
    </xf>
    <xf numFmtId="3" fontId="13" fillId="0" borderId="0" xfId="9" applyNumberFormat="1" applyFont="1" applyAlignment="1">
      <alignment horizontal="left" vertical="center"/>
    </xf>
    <xf numFmtId="38" fontId="13" fillId="0" borderId="20" xfId="10" applyFont="1" applyBorder="1" applyAlignment="1" applyProtection="1">
      <alignment vertical="center" wrapText="1"/>
    </xf>
    <xf numFmtId="38" fontId="26" fillId="0" borderId="0" xfId="8" applyNumberFormat="1" applyFont="1" applyAlignment="1">
      <alignment vertical="center"/>
    </xf>
    <xf numFmtId="0" fontId="27" fillId="0" borderId="22" xfId="8" applyFont="1" applyBorder="1" applyAlignment="1">
      <alignment vertical="center"/>
    </xf>
    <xf numFmtId="0" fontId="27" fillId="0" borderId="22" xfId="8" applyFont="1" applyBorder="1" applyAlignment="1">
      <alignment vertical="center" shrinkToFit="1"/>
    </xf>
    <xf numFmtId="0" fontId="43" fillId="0" borderId="22" xfId="8" applyFont="1" applyBorder="1" applyAlignment="1" applyProtection="1">
      <alignment horizontal="center" vertical="center" shrinkToFit="1"/>
      <protection locked="0"/>
    </xf>
    <xf numFmtId="0" fontId="43" fillId="0" borderId="22" xfId="8" applyFont="1" applyBorder="1" applyAlignment="1">
      <alignment horizontal="right" vertical="center"/>
    </xf>
    <xf numFmtId="0" fontId="43" fillId="0" borderId="23" xfId="8" applyFont="1" applyBorder="1" applyAlignment="1" applyProtection="1">
      <alignment horizontal="center" vertical="center" shrinkToFit="1"/>
      <protection locked="0"/>
    </xf>
    <xf numFmtId="0" fontId="43" fillId="0" borderId="24" xfId="8" applyFont="1" applyBorder="1" applyAlignment="1" applyProtection="1">
      <alignment horizontal="center" vertical="center" shrinkToFit="1"/>
      <protection locked="0"/>
    </xf>
    <xf numFmtId="0" fontId="43" fillId="0" borderId="23" xfId="8" applyFont="1" applyBorder="1" applyAlignment="1">
      <alignment horizontal="center" vertical="center" shrinkToFit="1"/>
    </xf>
    <xf numFmtId="0" fontId="43" fillId="0" borderId="24" xfId="8" applyFont="1" applyBorder="1" applyAlignment="1">
      <alignment horizontal="center" vertical="center" shrinkToFit="1"/>
    </xf>
    <xf numFmtId="0" fontId="58" fillId="0" borderId="21" xfId="8" applyFont="1" applyBorder="1" applyAlignment="1">
      <alignment horizontal="left" vertical="center" shrinkToFit="1"/>
    </xf>
    <xf numFmtId="38" fontId="16" fillId="0" borderId="23" xfId="10" applyFont="1" applyFill="1" applyBorder="1" applyAlignment="1" applyProtection="1">
      <alignment horizontal="right" vertical="center" shrinkToFit="1"/>
      <protection locked="0"/>
    </xf>
    <xf numFmtId="38" fontId="16" fillId="0" borderId="24" xfId="10" applyFont="1" applyFill="1" applyBorder="1" applyAlignment="1" applyProtection="1">
      <alignment horizontal="right" vertical="center" shrinkToFit="1"/>
      <protection locked="0"/>
    </xf>
    <xf numFmtId="38" fontId="16" fillId="0" borderId="26" xfId="10" applyFont="1" applyFill="1" applyBorder="1" applyAlignment="1" applyProtection="1">
      <alignment horizontal="right" vertical="center" shrinkToFit="1"/>
      <protection locked="0"/>
    </xf>
    <xf numFmtId="38" fontId="16" fillId="0" borderId="27" xfId="10" applyFont="1" applyFill="1" applyBorder="1" applyAlignment="1" applyProtection="1">
      <alignment horizontal="right" vertical="center" shrinkToFit="1"/>
      <protection locked="0"/>
    </xf>
    <xf numFmtId="0" fontId="16" fillId="0" borderId="12" xfId="8" applyFont="1" applyBorder="1" applyAlignment="1">
      <alignment horizontal="left" vertical="center" shrinkToFit="1"/>
    </xf>
    <xf numFmtId="0" fontId="18" fillId="4" borderId="22" xfId="8" applyFont="1" applyFill="1" applyBorder="1" applyAlignment="1">
      <alignment horizontal="center" vertical="center" shrinkToFit="1"/>
    </xf>
    <xf numFmtId="38" fontId="16" fillId="0" borderId="22" xfId="10" applyFont="1" applyBorder="1" applyAlignment="1" applyProtection="1">
      <alignment vertical="center" shrinkToFit="1"/>
    </xf>
    <xf numFmtId="38" fontId="16" fillId="0" borderId="23" xfId="10" applyFont="1" applyFill="1" applyBorder="1" applyAlignment="1" applyProtection="1">
      <alignment vertical="center" shrinkToFit="1"/>
      <protection locked="0"/>
    </xf>
    <xf numFmtId="38" fontId="16" fillId="0" borderId="24" xfId="10" applyFont="1" applyFill="1" applyBorder="1" applyAlignment="1" applyProtection="1">
      <alignment vertical="center" shrinkToFit="1"/>
      <protection locked="0"/>
    </xf>
    <xf numFmtId="38" fontId="16" fillId="0" borderId="26" xfId="10" applyFont="1" applyFill="1" applyBorder="1" applyAlignment="1" applyProtection="1">
      <alignment vertical="center" shrinkToFit="1"/>
      <protection locked="0"/>
    </xf>
    <xf numFmtId="38" fontId="16" fillId="0" borderId="27" xfId="10" applyFont="1" applyFill="1" applyBorder="1" applyAlignment="1" applyProtection="1">
      <alignment vertical="center" shrinkToFit="1"/>
      <protection locked="0"/>
    </xf>
    <xf numFmtId="38" fontId="16" fillId="0" borderId="12" xfId="10" applyFont="1" applyBorder="1" applyAlignment="1" applyProtection="1">
      <alignment vertical="center" shrinkToFit="1"/>
    </xf>
    <xf numFmtId="38" fontId="1" fillId="0" borderId="12" xfId="10" applyFont="1" applyBorder="1" applyAlignment="1" applyProtection="1">
      <alignment vertical="center" shrinkToFit="1"/>
    </xf>
    <xf numFmtId="0" fontId="16" fillId="0" borderId="22" xfId="8" applyFont="1" applyBorder="1" applyAlignment="1">
      <alignment horizontal="left" vertical="center" shrinkToFit="1"/>
    </xf>
    <xf numFmtId="0" fontId="16" fillId="0" borderId="25" xfId="8" applyFont="1" applyBorder="1" applyAlignment="1">
      <alignment horizontal="left" vertical="center" shrinkToFit="1"/>
    </xf>
    <xf numFmtId="0" fontId="6" fillId="0" borderId="12" xfId="8" applyFont="1" applyBorder="1" applyAlignment="1">
      <alignment horizontal="left" vertical="center" shrinkToFit="1"/>
    </xf>
    <xf numFmtId="38" fontId="6" fillId="0" borderId="49" xfId="10" applyFont="1" applyBorder="1" applyAlignment="1" applyProtection="1">
      <alignment horizontal="left" vertical="center" shrinkToFit="1"/>
    </xf>
    <xf numFmtId="38" fontId="6" fillId="0" borderId="50" xfId="10" applyFont="1" applyBorder="1" applyAlignment="1" applyProtection="1">
      <alignment horizontal="left" vertical="center" shrinkToFit="1"/>
    </xf>
    <xf numFmtId="38" fontId="18" fillId="4" borderId="22" xfId="10" applyFont="1" applyFill="1" applyBorder="1" applyAlignment="1" applyProtection="1">
      <alignment horizontal="center" vertical="center" shrinkToFit="1"/>
    </xf>
    <xf numFmtId="38" fontId="20" fillId="4" borderId="22" xfId="10" applyFont="1" applyFill="1" applyBorder="1" applyAlignment="1" applyProtection="1">
      <alignment horizontal="center" vertical="center" shrinkToFit="1"/>
    </xf>
    <xf numFmtId="38" fontId="16" fillId="0" borderId="12" xfId="10" applyFont="1" applyBorder="1" applyAlignment="1" applyProtection="1">
      <alignment horizontal="right" vertical="center" shrinkToFit="1"/>
    </xf>
    <xf numFmtId="38" fontId="6" fillId="0" borderId="12" xfId="10" applyFont="1" applyBorder="1" applyAlignment="1" applyProtection="1">
      <alignment horizontal="right" vertical="center" shrinkToFit="1"/>
    </xf>
    <xf numFmtId="0" fontId="16" fillId="0" borderId="15" xfId="8" applyFont="1" applyBorder="1" applyAlignment="1">
      <alignment horizontal="justify" vertical="center" shrinkToFit="1"/>
    </xf>
    <xf numFmtId="0" fontId="16" fillId="0" borderId="16" xfId="8" applyFont="1" applyBorder="1" applyAlignment="1">
      <alignment horizontal="justify" vertical="center" shrinkToFit="1"/>
    </xf>
    <xf numFmtId="38" fontId="16" fillId="0" borderId="33" xfId="10" applyFont="1" applyFill="1" applyBorder="1" applyAlignment="1" applyProtection="1">
      <alignment horizontal="right" vertical="center" shrinkToFit="1"/>
    </xf>
    <xf numFmtId="0" fontId="38" fillId="0" borderId="0" xfId="9" applyFont="1" applyAlignment="1">
      <alignment horizontal="left" vertical="center" shrinkToFit="1"/>
    </xf>
    <xf numFmtId="0" fontId="18" fillId="4" borderId="23" xfId="8" applyFont="1" applyFill="1" applyBorder="1" applyAlignment="1">
      <alignment horizontal="center" vertical="center" shrinkToFit="1"/>
    </xf>
    <xf numFmtId="0" fontId="18" fillId="4" borderId="24" xfId="8" applyFont="1" applyFill="1" applyBorder="1" applyAlignment="1">
      <alignment horizontal="center" vertical="center" shrinkToFit="1"/>
    </xf>
    <xf numFmtId="38" fontId="16" fillId="0" borderId="47" xfId="10" applyFont="1" applyFill="1" applyBorder="1" applyAlignment="1" applyProtection="1">
      <alignment vertical="center" shrinkToFit="1"/>
    </xf>
    <xf numFmtId="38" fontId="16" fillId="0" borderId="48" xfId="10" applyFont="1" applyFill="1" applyBorder="1" applyAlignment="1" applyProtection="1">
      <alignment vertical="center" shrinkToFit="1"/>
    </xf>
    <xf numFmtId="0" fontId="16" fillId="0" borderId="17" xfId="9" applyFont="1" applyBorder="1" applyAlignment="1">
      <alignment horizontal="left" vertical="center" shrinkToFit="1"/>
    </xf>
    <xf numFmtId="0" fontId="16" fillId="0" borderId="18" xfId="9" applyFont="1" applyBorder="1" applyAlignment="1">
      <alignment horizontal="left" vertical="center" shrinkToFit="1"/>
    </xf>
    <xf numFmtId="0" fontId="16" fillId="0" borderId="20" xfId="8" applyFont="1" applyBorder="1" applyAlignment="1">
      <alignment horizontal="center" vertical="center" shrinkToFit="1"/>
    </xf>
    <xf numFmtId="0" fontId="16" fillId="0" borderId="22" xfId="8" applyFont="1" applyBorder="1" applyAlignment="1">
      <alignment horizontal="center" vertical="center" shrinkToFit="1"/>
    </xf>
    <xf numFmtId="0" fontId="16" fillId="0" borderId="25" xfId="8" applyFont="1" applyBorder="1" applyAlignment="1">
      <alignment horizontal="center" vertical="center" shrinkToFit="1"/>
    </xf>
    <xf numFmtId="0" fontId="16" fillId="0" borderId="14" xfId="8" applyFont="1" applyBorder="1" applyAlignment="1">
      <alignment horizontal="justify" vertical="center" shrinkToFit="1"/>
    </xf>
    <xf numFmtId="0" fontId="17" fillId="0" borderId="0" xfId="8" applyFont="1" applyAlignment="1">
      <alignment horizontal="center" vertical="center"/>
    </xf>
    <xf numFmtId="0" fontId="16" fillId="0" borderId="22" xfId="8" applyFont="1" applyBorder="1" applyAlignment="1" applyProtection="1">
      <alignment horizontal="left" vertical="center" shrinkToFit="1"/>
      <protection locked="0"/>
    </xf>
    <xf numFmtId="0" fontId="16" fillId="0" borderId="22" xfId="8" applyFont="1" applyBorder="1" applyAlignment="1" applyProtection="1">
      <alignment horizontal="left" vertical="center"/>
      <protection locked="0"/>
    </xf>
    <xf numFmtId="0" fontId="20" fillId="4" borderId="9" xfId="8" applyFont="1" applyFill="1" applyBorder="1" applyAlignment="1">
      <alignment horizontal="center" vertical="center" shrinkToFit="1"/>
    </xf>
    <xf numFmtId="0" fontId="20" fillId="4" borderId="10" xfId="8" applyFont="1" applyFill="1" applyBorder="1" applyAlignment="1">
      <alignment horizontal="center" vertical="center" shrinkToFit="1"/>
    </xf>
    <xf numFmtId="0" fontId="44" fillId="0" borderId="23" xfId="0" applyFont="1" applyBorder="1" applyAlignment="1" applyProtection="1">
      <alignment horizontal="center" vertical="center" shrinkToFit="1"/>
      <protection locked="0"/>
    </xf>
    <xf numFmtId="0" fontId="44" fillId="0" borderId="24" xfId="0" applyFont="1" applyBorder="1" applyAlignment="1" applyProtection="1">
      <alignment horizontal="center" vertical="center" shrinkToFit="1"/>
      <protection locked="0"/>
    </xf>
    <xf numFmtId="0" fontId="18" fillId="4" borderId="22" xfId="8" applyFont="1" applyFill="1" applyBorder="1" applyAlignment="1">
      <alignment horizontal="left" vertical="center"/>
    </xf>
    <xf numFmtId="0" fontId="18" fillId="4" borderId="22" xfId="1" applyFont="1" applyFill="1" applyBorder="1" applyAlignment="1">
      <alignment horizontal="left" vertical="center" wrapText="1"/>
    </xf>
    <xf numFmtId="0" fontId="17" fillId="0" borderId="42" xfId="1" applyFont="1" applyFill="1" applyBorder="1">
      <alignment horizontal="left" vertical="center" indent="1"/>
    </xf>
    <xf numFmtId="0" fontId="19" fillId="4" borderId="11" xfId="1" applyFont="1" applyFill="1" applyBorder="1" applyAlignment="1">
      <alignment horizontal="center" vertical="center" wrapText="1" shrinkToFit="1"/>
    </xf>
    <xf numFmtId="0" fontId="19" fillId="4" borderId="12" xfId="1" applyFont="1" applyFill="1" applyBorder="1" applyAlignment="1">
      <alignment horizontal="center" vertical="center" wrapText="1" shrinkToFit="1"/>
    </xf>
    <xf numFmtId="0" fontId="15" fillId="0" borderId="0" xfId="0" applyFont="1" applyAlignment="1">
      <alignment horizontal="right" vertical="top"/>
    </xf>
    <xf numFmtId="0" fontId="15" fillId="0" borderId="0" xfId="0" applyFont="1" applyAlignment="1">
      <alignment horizontal="left" vertical="center"/>
    </xf>
    <xf numFmtId="0" fontId="18" fillId="4" borderId="22" xfId="0" applyFont="1" applyFill="1" applyBorder="1" applyAlignment="1">
      <alignment horizontal="center" vertical="center" shrinkToFit="1"/>
    </xf>
    <xf numFmtId="0" fontId="18" fillId="4" borderId="22" xfId="1" applyFont="1" applyFill="1" applyBorder="1" applyAlignment="1">
      <alignment horizontal="center" vertical="center" wrapText="1"/>
    </xf>
    <xf numFmtId="0" fontId="19" fillId="4" borderId="22" xfId="1" applyFont="1" applyFill="1" applyBorder="1" applyAlignment="1">
      <alignment horizontal="center" vertical="center" wrapText="1"/>
    </xf>
    <xf numFmtId="0" fontId="19" fillId="4" borderId="22" xfId="1" applyFont="1" applyFill="1" applyBorder="1" applyAlignment="1">
      <alignment horizontal="center" vertical="center"/>
    </xf>
    <xf numFmtId="0" fontId="20" fillId="4" borderId="22" xfId="1" applyNumberFormat="1" applyFont="1" applyFill="1" applyBorder="1" applyAlignment="1">
      <alignment horizontal="center" vertical="center" wrapText="1"/>
    </xf>
    <xf numFmtId="38" fontId="20" fillId="4" borderId="22" xfId="7" applyFont="1" applyFill="1" applyBorder="1" applyAlignment="1">
      <alignment horizontal="center" vertical="center" wrapText="1"/>
    </xf>
    <xf numFmtId="176" fontId="20" fillId="4" borderId="11" xfId="1" applyNumberFormat="1" applyFont="1" applyFill="1" applyBorder="1" applyAlignment="1" applyProtection="1">
      <alignment horizontal="center" vertical="center" wrapText="1"/>
    </xf>
    <xf numFmtId="176" fontId="20" fillId="4" borderId="12" xfId="1" applyNumberFormat="1" applyFont="1" applyFill="1" applyBorder="1" applyAlignment="1" applyProtection="1">
      <alignment horizontal="center" vertical="center" wrapText="1"/>
    </xf>
    <xf numFmtId="176" fontId="16" fillId="0" borderId="0" xfId="0" applyNumberFormat="1" applyFont="1" applyAlignment="1">
      <alignment horizontal="center" vertical="center"/>
    </xf>
    <xf numFmtId="0" fontId="43" fillId="0" borderId="22" xfId="8" applyFont="1" applyBorder="1" applyAlignment="1" applyProtection="1">
      <alignment horizontal="right" vertical="center" shrinkToFit="1"/>
    </xf>
  </cellXfs>
  <cellStyles count="12">
    <cellStyle name="タイトル" xfId="3" builtinId="15" customBuiltin="1"/>
    <cellStyle name="パーセント" xfId="11" builtinId="5"/>
    <cellStyle name="桁区切り" xfId="7" builtinId="6"/>
    <cellStyle name="桁区切り 2" xfId="10" xr:uid="{00000000-0005-0000-0000-000002000000}"/>
    <cellStyle name="見出し 1" xfId="1" builtinId="16" customBuiltin="1"/>
    <cellStyle name="見出し 2" xfId="2" builtinId="17" customBuiltin="1"/>
    <cellStyle name="見出し 3" xfId="4" builtinId="18" customBuiltin="1"/>
    <cellStyle name="見出し 4" xfId="5" builtinId="19" customBuiltin="1"/>
    <cellStyle name="集計" xfId="6" builtinId="25" customBuiltin="1"/>
    <cellStyle name="標準" xfId="0" builtinId="0" customBuiltin="1"/>
    <cellStyle name="標準 2" xfId="8" xr:uid="{00000000-0005-0000-0000-000009000000}"/>
    <cellStyle name="標準 2 2" xfId="9" xr:uid="{00000000-0005-0000-0000-00000A000000}"/>
  </cellStyles>
  <dxfs count="75">
    <dxf>
      <font>
        <color theme="0"/>
      </font>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theme="0" tint="-0.14996795556505021"/>
        </patternFill>
      </fill>
    </dxf>
    <dxf>
      <fill>
        <patternFill>
          <bgColor theme="0" tint="-0.14996795556505021"/>
        </patternFill>
      </fill>
    </dxf>
    <dxf>
      <font>
        <color theme="0"/>
      </font>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theme="0" tint="-0.14996795556505021"/>
        </patternFill>
      </fill>
    </dxf>
    <dxf>
      <fill>
        <patternFill>
          <bgColor theme="0" tint="-0.14996795556505021"/>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rgb="FFD4F8E3"/>
        </patternFill>
      </fill>
    </dxf>
    <dxf>
      <fill>
        <patternFill>
          <bgColor theme="0" tint="-0.14996795556505021"/>
        </patternFill>
      </fill>
    </dxf>
    <dxf>
      <font>
        <b/>
        <i val="0"/>
        <color rgb="FFFF0000"/>
      </font>
    </dxf>
    <dxf>
      <font>
        <b/>
        <i val="0"/>
        <color rgb="FFFF0000"/>
      </font>
    </dxf>
    <dxf>
      <fill>
        <patternFill>
          <bgColor rgb="FFD4F8E3"/>
        </patternFill>
      </fill>
    </dxf>
    <dxf>
      <fill>
        <patternFill>
          <bgColor rgb="FFD4F8E3"/>
        </patternFill>
      </fill>
    </dxf>
    <dxf>
      <font>
        <b/>
        <i val="0"/>
        <color rgb="FF0070C0"/>
      </font>
      <fill>
        <patternFill patternType="none">
          <bgColor auto="1"/>
        </patternFill>
      </fill>
    </dxf>
    <dxf>
      <fill>
        <patternFill>
          <bgColor rgb="FFFF0000"/>
        </patternFill>
      </fill>
    </dxf>
    <dxf>
      <fill>
        <patternFill>
          <bgColor rgb="FFD4F8E3"/>
        </patternFill>
      </fill>
    </dxf>
    <dxf>
      <fill>
        <patternFill patternType="lightGray">
          <fgColor theme="1"/>
        </patternFill>
      </fill>
    </dxf>
    <dxf>
      <fill>
        <patternFill>
          <bgColor rgb="FFD4F8E3"/>
        </patternFill>
      </fill>
    </dxf>
    <dxf>
      <fill>
        <patternFill>
          <bgColor rgb="FFD4F8E3"/>
        </patternFill>
      </fill>
    </dxf>
    <dxf>
      <fill>
        <patternFill>
          <bgColor rgb="FFFF0000"/>
        </patternFill>
      </fill>
    </dxf>
    <dxf>
      <fill>
        <patternFill>
          <bgColor rgb="FFFF0000"/>
        </patternFill>
      </fill>
    </dxf>
    <dxf>
      <fill>
        <patternFill>
          <bgColor rgb="FFFF0000"/>
        </patternFill>
      </fill>
    </dxf>
    <dxf>
      <fill>
        <patternFill>
          <bgColor rgb="FFD4F8E3"/>
        </patternFill>
      </fill>
    </dxf>
    <dxf>
      <fill>
        <patternFill patternType="lightGray">
          <fgColor theme="1"/>
        </patternFill>
      </fill>
    </dxf>
    <dxf>
      <fill>
        <patternFill>
          <bgColor rgb="FFD4F8E3"/>
        </patternFill>
      </fill>
    </dxf>
    <dxf>
      <fill>
        <patternFill>
          <bgColor rgb="FFD4F8E3"/>
        </patternFill>
      </fill>
    </dxf>
    <dxf>
      <fill>
        <patternFill patternType="lightGray">
          <fgColor theme="1"/>
        </patternFill>
      </fill>
    </dxf>
  </dxfs>
  <tableStyles count="0" defaultTableStyle="TableStyleMedium2" defaultPivotStyle="PivotStyleLight16"/>
  <colors>
    <mruColors>
      <color rgb="FFFF9933"/>
      <color rgb="FF76E088"/>
      <color rgb="FFB7E4C7"/>
      <color rgb="FFC6E0B4"/>
      <color rgb="FF70AD47"/>
      <color rgb="FFA9D08E"/>
      <color rgb="FFB8F2E6"/>
      <color rgb="FF2D6A4F"/>
      <color rgb="FF58815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4</xdr:col>
      <xdr:colOff>9525</xdr:colOff>
      <xdr:row>5</xdr:row>
      <xdr:rowOff>427504</xdr:rowOff>
    </xdr:from>
    <xdr:to>
      <xdr:col>6</xdr:col>
      <xdr:colOff>295275</xdr:colOff>
      <xdr:row>6</xdr:row>
      <xdr:rowOff>609600</xdr:rowOff>
    </xdr:to>
    <xdr:sp macro="" textlink="">
      <xdr:nvSpPr>
        <xdr:cNvPr id="2" name="正方形/長方形 1">
          <a:extLst>
            <a:ext uri="{FF2B5EF4-FFF2-40B4-BE49-F238E27FC236}">
              <a16:creationId xmlns:a16="http://schemas.microsoft.com/office/drawing/2014/main" id="{61FF50AA-53A1-4A8A-B510-F4036CF22BDF}"/>
            </a:ext>
          </a:extLst>
        </xdr:cNvPr>
        <xdr:cNvSpPr/>
      </xdr:nvSpPr>
      <xdr:spPr>
        <a:xfrm>
          <a:off x="2657475" y="1894354"/>
          <a:ext cx="895350" cy="610721"/>
        </a:xfrm>
        <a:prstGeom prst="rect">
          <a:avLst/>
        </a:prstGeom>
        <a:noFill/>
        <a:ln>
          <a:solidFill>
            <a:srgbClr val="0000FF"/>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18515</xdr:colOff>
      <xdr:row>6</xdr:row>
      <xdr:rowOff>11693</xdr:rowOff>
    </xdr:from>
    <xdr:to>
      <xdr:col>16</xdr:col>
      <xdr:colOff>1374913</xdr:colOff>
      <xdr:row>6</xdr:row>
      <xdr:rowOff>618760</xdr:rowOff>
    </xdr:to>
    <xdr:sp macro="" textlink="">
      <xdr:nvSpPr>
        <xdr:cNvPr id="3" name="正方形/長方形 2">
          <a:extLst>
            <a:ext uri="{FF2B5EF4-FFF2-40B4-BE49-F238E27FC236}">
              <a16:creationId xmlns:a16="http://schemas.microsoft.com/office/drawing/2014/main" id="{57676BD1-15ED-4FBA-8D71-F64E84045198}"/>
            </a:ext>
          </a:extLst>
        </xdr:cNvPr>
        <xdr:cNvSpPr/>
      </xdr:nvSpPr>
      <xdr:spPr>
        <a:xfrm>
          <a:off x="5012928" y="1949823"/>
          <a:ext cx="10806855" cy="607067"/>
        </a:xfrm>
        <a:prstGeom prst="rect">
          <a:avLst/>
        </a:prstGeom>
        <a:noFill/>
        <a:ln>
          <a:solidFill>
            <a:srgbClr val="0000FF"/>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8771</xdr:colOff>
      <xdr:row>6</xdr:row>
      <xdr:rowOff>22411</xdr:rowOff>
    </xdr:from>
    <xdr:to>
      <xdr:col>7</xdr:col>
      <xdr:colOff>1069408</xdr:colOff>
      <xdr:row>6</xdr:row>
      <xdr:rowOff>622486</xdr:rowOff>
    </xdr:to>
    <xdr:sp macro="" textlink="">
      <xdr:nvSpPr>
        <xdr:cNvPr id="4" name="正方形/長方形 3">
          <a:extLst>
            <a:ext uri="{FF2B5EF4-FFF2-40B4-BE49-F238E27FC236}">
              <a16:creationId xmlns:a16="http://schemas.microsoft.com/office/drawing/2014/main" id="{D079E3C2-1966-43DC-BBE0-E95D1229A75E}"/>
            </a:ext>
          </a:extLst>
        </xdr:cNvPr>
        <xdr:cNvSpPr/>
      </xdr:nvSpPr>
      <xdr:spPr>
        <a:xfrm>
          <a:off x="3901597" y="1960541"/>
          <a:ext cx="1060637" cy="600075"/>
        </a:xfrm>
        <a:prstGeom prst="rect">
          <a:avLst/>
        </a:prstGeom>
        <a:noFill/>
        <a:ln>
          <a:solidFill>
            <a:srgbClr val="0000FF"/>
          </a:solidFill>
          <a:prstDash val="sys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32642</xdr:colOff>
      <xdr:row>97</xdr:row>
      <xdr:rowOff>187089</xdr:rowOff>
    </xdr:from>
    <xdr:to>
      <xdr:col>13</xdr:col>
      <xdr:colOff>1146345</xdr:colOff>
      <xdr:row>128</xdr:row>
      <xdr:rowOff>542364</xdr:rowOff>
    </xdr:to>
    <xdr:sp macro="" textlink="">
      <xdr:nvSpPr>
        <xdr:cNvPr id="5" name="正方形/長方形 4">
          <a:extLst>
            <a:ext uri="{FF2B5EF4-FFF2-40B4-BE49-F238E27FC236}">
              <a16:creationId xmlns:a16="http://schemas.microsoft.com/office/drawing/2014/main" id="{1D98C049-9193-433E-8966-EFB2FD9B11BB}"/>
            </a:ext>
          </a:extLst>
        </xdr:cNvPr>
        <xdr:cNvSpPr/>
      </xdr:nvSpPr>
      <xdr:spPr>
        <a:xfrm>
          <a:off x="2150554" y="3997089"/>
          <a:ext cx="6907144" cy="2237863"/>
        </a:xfrm>
        <a:prstGeom prst="rect">
          <a:avLst/>
        </a:prstGeom>
        <a:solidFill>
          <a:srgbClr val="FF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600">
              <a:solidFill>
                <a:srgbClr val="FF0000"/>
              </a:solidFill>
              <a:latin typeface="Meiryo UI" panose="020B0604030504040204" pitchFamily="50" charset="-128"/>
              <a:ea typeface="Meiryo UI" panose="020B0604030504040204" pitchFamily="50" charset="-128"/>
            </a:rPr>
            <a:t>（注意）事務局提供のフォーマットを独自に加工しないで下さい</a:t>
          </a:r>
          <a:endParaRPr kumimoji="1" lang="en-US" altLang="ja-JP" sz="1600">
            <a:solidFill>
              <a:srgbClr val="FF0000"/>
            </a:solidFill>
            <a:latin typeface="Meiryo UI" panose="020B0604030504040204" pitchFamily="50" charset="-128"/>
            <a:ea typeface="Meiryo UI" panose="020B0604030504040204" pitchFamily="50" charset="-128"/>
          </a:endParaRPr>
        </a:p>
        <a:p>
          <a:pPr algn="l"/>
          <a:r>
            <a:rPr kumimoji="1" lang="ja-JP" altLang="en-US" sz="1100">
              <a:solidFill>
                <a:schemeClr val="tx1"/>
              </a:solidFill>
              <a:effectLst/>
              <a:latin typeface="Meiryo UI" panose="020B0604030504040204" pitchFamily="50" charset="-128"/>
              <a:ea typeface="Meiryo UI" panose="020B0604030504040204" pitchFamily="50" charset="-128"/>
              <a:cs typeface="+mn-cs"/>
            </a:rPr>
            <a:t>下記のような加工はしないでください。</a:t>
          </a:r>
          <a:endParaRPr kumimoji="1" lang="en-US" altLang="ja-JP" sz="1100">
            <a:solidFill>
              <a:schemeClr val="tx1"/>
            </a:solidFill>
            <a:effectLst/>
            <a:latin typeface="Meiryo UI" panose="020B0604030504040204" pitchFamily="50" charset="-128"/>
            <a:ea typeface="Meiryo UI" panose="020B0604030504040204" pitchFamily="50" charset="-128"/>
            <a:cs typeface="+mn-cs"/>
          </a:endParaRPr>
        </a:p>
        <a:p>
          <a:pPr algn="l"/>
          <a:r>
            <a:rPr kumimoji="1" lang="ja-JP" altLang="en-US" sz="1100">
              <a:solidFill>
                <a:schemeClr val="tx1"/>
              </a:solidFill>
              <a:effectLst/>
              <a:latin typeface="Meiryo UI" panose="020B0604030504040204" pitchFamily="50" charset="-128"/>
              <a:ea typeface="Meiryo UI" panose="020B0604030504040204" pitchFamily="50" charset="-128"/>
              <a:cs typeface="+mn-cs"/>
            </a:rPr>
            <a:t>　</a:t>
          </a:r>
          <a:r>
            <a:rPr kumimoji="1" lang="ja-JP" altLang="ja-JP" sz="1100">
              <a:solidFill>
                <a:schemeClr val="tx1"/>
              </a:solidFill>
              <a:effectLst/>
              <a:latin typeface="Meiryo UI" panose="020B0604030504040204" pitchFamily="50" charset="-128"/>
              <a:ea typeface="Meiryo UI" panose="020B0604030504040204" pitchFamily="50" charset="-128"/>
              <a:cs typeface="+mn-cs"/>
            </a:rPr>
            <a:t>●</a:t>
          </a:r>
          <a:r>
            <a:rPr kumimoji="1" lang="ja-JP" altLang="en-US" sz="1100">
              <a:solidFill>
                <a:schemeClr val="tx1"/>
              </a:solidFill>
              <a:latin typeface="Meiryo UI" panose="020B0604030504040204" pitchFamily="50" charset="-128"/>
              <a:ea typeface="Meiryo UI" panose="020B0604030504040204" pitchFamily="50" charset="-128"/>
            </a:rPr>
            <a:t>行・列を任意に追加　</a:t>
          </a:r>
          <a:r>
            <a:rPr kumimoji="1" lang="en-US" altLang="ja-JP" sz="1100">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行が足りない場合は事務局へ相談すること。</a:t>
          </a:r>
          <a:endParaRPr kumimoji="1" lang="en-US" altLang="ja-JP" sz="1100">
            <a:solidFill>
              <a:schemeClr val="tx1"/>
            </a:solidFill>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ja-JP" sz="110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100">
              <a:solidFill>
                <a:sysClr val="windowText" lastClr="000000"/>
              </a:solidFill>
              <a:effectLst/>
              <a:latin typeface="Meiryo UI" panose="020B0604030504040204" pitchFamily="50" charset="-128"/>
              <a:ea typeface="Meiryo UI" panose="020B0604030504040204" pitchFamily="50" charset="-128"/>
              <a:cs typeface="+mn-cs"/>
            </a:rPr>
            <a:t>文言の変更　</a:t>
          </a:r>
          <a:r>
            <a:rPr kumimoji="1" lang="en-US" altLang="ja-JP" sz="110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en-US" sz="1100">
              <a:solidFill>
                <a:sysClr val="windowText" lastClr="000000"/>
              </a:solidFill>
              <a:effectLst/>
              <a:latin typeface="Meiryo UI" panose="020B0604030504040204" pitchFamily="50" charset="-128"/>
              <a:ea typeface="Meiryo UI" panose="020B0604030504040204" pitchFamily="50" charset="-128"/>
              <a:cs typeface="+mn-cs"/>
            </a:rPr>
            <a:t>　例：①謝金→①謝金（○○セミナー）などへ変更</a:t>
          </a:r>
          <a:endParaRPr kumimoji="1" lang="en-US" altLang="ja-JP" sz="1100">
            <a:solidFill>
              <a:sysClr val="windowText" lastClr="000000"/>
            </a:solidFill>
            <a:effectLst/>
            <a:latin typeface="Meiryo UI" panose="020B0604030504040204" pitchFamily="50" charset="-128"/>
            <a:ea typeface="Meiryo UI" panose="020B0604030504040204" pitchFamily="50" charset="-128"/>
            <a:cs typeface="+mn-cs"/>
          </a:endParaRPr>
        </a:p>
        <a:p>
          <a:pPr algn="l"/>
          <a:r>
            <a:rPr kumimoji="1" lang="ja-JP" altLang="en-US" sz="1100">
              <a:solidFill>
                <a:schemeClr val="tx1"/>
              </a:solidFill>
              <a:effectLst/>
              <a:latin typeface="Meiryo UI" panose="020B0604030504040204" pitchFamily="50" charset="-128"/>
              <a:ea typeface="Meiryo UI" panose="020B0604030504040204" pitchFamily="50" charset="-128"/>
              <a:cs typeface="+mn-cs"/>
            </a:rPr>
            <a:t>　</a:t>
          </a:r>
          <a:r>
            <a:rPr kumimoji="1" lang="ja-JP" altLang="ja-JP" sz="1100">
              <a:solidFill>
                <a:schemeClr val="tx1"/>
              </a:solidFill>
              <a:effectLst/>
              <a:latin typeface="Meiryo UI" panose="020B0604030504040204" pitchFamily="50" charset="-128"/>
              <a:ea typeface="Meiryo UI" panose="020B0604030504040204" pitchFamily="50" charset="-128"/>
              <a:cs typeface="+mn-cs"/>
            </a:rPr>
            <a:t>●</a:t>
          </a:r>
          <a:r>
            <a:rPr kumimoji="1" lang="ja-JP" altLang="en-US" sz="1100">
              <a:solidFill>
                <a:schemeClr val="tx1"/>
              </a:solidFill>
              <a:latin typeface="Meiryo UI" panose="020B0604030504040204" pitchFamily="50" charset="-128"/>
              <a:ea typeface="Meiryo UI" panose="020B0604030504040204" pitchFamily="50" charset="-128"/>
            </a:rPr>
            <a:t>関数の上書・加工　</a:t>
          </a:r>
          <a:endParaRPr kumimoji="1" lang="en-US" altLang="ja-JP" sz="1100">
            <a:solidFill>
              <a:schemeClr val="tx1"/>
            </a:solidFill>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tx1"/>
              </a:solidFill>
              <a:effectLst/>
              <a:latin typeface="Meiryo UI" panose="020B0604030504040204" pitchFamily="50" charset="-128"/>
              <a:ea typeface="Meiryo UI" panose="020B0604030504040204" pitchFamily="50" charset="-128"/>
              <a:cs typeface="+mn-cs"/>
            </a:rPr>
            <a:t>　</a:t>
          </a:r>
          <a:r>
            <a:rPr kumimoji="1" lang="ja-JP" altLang="ja-JP" sz="1100">
              <a:solidFill>
                <a:schemeClr val="tx1"/>
              </a:solidFill>
              <a:effectLst/>
              <a:latin typeface="Meiryo UI" panose="020B0604030504040204" pitchFamily="50" charset="-128"/>
              <a:ea typeface="Meiryo UI" panose="020B0604030504040204" pitchFamily="50" charset="-128"/>
              <a:cs typeface="+mn-cs"/>
            </a:rPr>
            <a:t>●</a:t>
          </a:r>
          <a:r>
            <a:rPr kumimoji="1" lang="ja-JP" altLang="en-US" sz="1100">
              <a:solidFill>
                <a:schemeClr val="tx1"/>
              </a:solidFill>
              <a:latin typeface="Meiryo UI" panose="020B0604030504040204" pitchFamily="50" charset="-128"/>
              <a:ea typeface="Meiryo UI" panose="020B0604030504040204" pitchFamily="50" charset="-128"/>
            </a:rPr>
            <a:t>データの入力規則の変更　</a:t>
          </a:r>
          <a:r>
            <a:rPr kumimoji="1" lang="en-US" altLang="ja-JP" sz="1100">
              <a:solidFill>
                <a:sysClr val="windowText" lastClr="000000"/>
              </a:solidFill>
              <a:effectLst/>
              <a:latin typeface="+mn-lt"/>
              <a:ea typeface="+mn-ea"/>
              <a:cs typeface="+mn-cs"/>
            </a:rPr>
            <a:t>※</a:t>
          </a:r>
          <a:r>
            <a:rPr kumimoji="1" lang="ja-JP" altLang="ja-JP" sz="1100">
              <a:solidFill>
                <a:sysClr val="windowText" lastClr="000000"/>
              </a:solidFill>
              <a:effectLst/>
              <a:latin typeface="+mn-lt"/>
              <a:ea typeface="+mn-ea"/>
              <a:cs typeface="+mn-cs"/>
            </a:rPr>
            <a:t>　例：</a:t>
          </a:r>
          <a:r>
            <a:rPr kumimoji="1" lang="ja-JP" altLang="en-US" sz="1100">
              <a:solidFill>
                <a:sysClr val="windowText" lastClr="000000"/>
              </a:solidFill>
              <a:effectLst/>
              <a:latin typeface="+mn-lt"/>
              <a:ea typeface="+mn-ea"/>
              <a:cs typeface="+mn-cs"/>
            </a:rPr>
            <a:t>✓</a:t>
          </a:r>
          <a:r>
            <a:rPr kumimoji="1" lang="ja-JP" altLang="ja-JP" sz="1100">
              <a:solidFill>
                <a:sysClr val="windowText" lastClr="000000"/>
              </a:solidFill>
              <a:effectLst/>
              <a:latin typeface="+mn-lt"/>
              <a:ea typeface="+mn-ea"/>
              <a:cs typeface="+mn-cs"/>
            </a:rPr>
            <a:t>→</a:t>
          </a:r>
          <a:r>
            <a:rPr kumimoji="1" lang="ja-JP" altLang="en-US" sz="1100">
              <a:solidFill>
                <a:sysClr val="windowText" lastClr="000000"/>
              </a:solidFill>
              <a:effectLst/>
              <a:latin typeface="+mn-lt"/>
              <a:ea typeface="+mn-ea"/>
              <a:cs typeface="+mn-cs"/>
            </a:rPr>
            <a:t>〇、</a:t>
          </a:r>
          <a:r>
            <a:rPr kumimoji="1" lang="en-US" altLang="ja-JP" sz="1100">
              <a:solidFill>
                <a:sysClr val="windowText" lastClr="000000"/>
              </a:solidFill>
              <a:effectLst/>
              <a:latin typeface="+mn-lt"/>
              <a:ea typeface="+mn-ea"/>
              <a:cs typeface="+mn-cs"/>
            </a:rPr>
            <a:t>×</a:t>
          </a:r>
          <a:endParaRPr lang="ja-JP" altLang="ja-JP">
            <a:effectLst/>
          </a:endParaRPr>
        </a:p>
        <a:p>
          <a:pPr algn="l"/>
          <a:endParaRPr kumimoji="1" lang="ja-JP" altLang="en-US" sz="1100">
            <a:solidFill>
              <a:schemeClr val="tx1"/>
            </a:solidFill>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F3783-027A-4E83-87EC-CCEF885A5870}">
  <sheetPr codeName="Sheet1">
    <pageSetUpPr fitToPage="1"/>
  </sheetPr>
  <dimension ref="B1:T58"/>
  <sheetViews>
    <sheetView tabSelected="1" view="pageBreakPreview" zoomScaleNormal="100" zoomScaleSheetLayoutView="100" workbookViewId="0">
      <selection activeCell="B2" sqref="B2"/>
    </sheetView>
  </sheetViews>
  <sheetFormatPr defaultColWidth="6.875" defaultRowHeight="15.75"/>
  <cols>
    <col min="1" max="1" width="1.125" style="31" customWidth="1"/>
    <col min="2" max="2" width="2.75" style="31" customWidth="1"/>
    <col min="3" max="3" width="18.125" style="31" customWidth="1"/>
    <col min="4" max="4" width="5.125" style="32" customWidth="1"/>
    <col min="5" max="7" width="16.75" style="31" customWidth="1"/>
    <col min="8" max="8" width="19.875" style="31" customWidth="1"/>
    <col min="9" max="9" width="44.375" style="31" customWidth="1"/>
    <col min="10" max="10" width="2.375" style="31" customWidth="1"/>
    <col min="11" max="11" width="16.75" style="33" customWidth="1"/>
    <col min="12" max="12" width="3.75" style="33" customWidth="1"/>
    <col min="13" max="13" width="2.75" style="33" customWidth="1"/>
    <col min="14" max="14" width="13.5" style="34" customWidth="1"/>
    <col min="15" max="15" width="6.875" style="34"/>
    <col min="16" max="16" width="10.5" style="34" customWidth="1"/>
    <col min="17" max="19" width="6.875" style="34"/>
    <col min="20" max="16384" width="6.875" style="31"/>
  </cols>
  <sheetData>
    <row r="1" spans="2:20" ht="6" customHeight="1"/>
    <row r="2" spans="2:20" ht="15" customHeight="1">
      <c r="B2" s="31" t="s">
        <v>141</v>
      </c>
      <c r="H2" s="35" t="s">
        <v>142</v>
      </c>
      <c r="I2" s="36"/>
      <c r="J2" s="36"/>
      <c r="T2" s="34"/>
    </row>
    <row r="3" spans="2:20" ht="15" customHeight="1">
      <c r="B3" s="226" t="s">
        <v>0</v>
      </c>
      <c r="C3" s="226"/>
      <c r="D3" s="226"/>
      <c r="E3" s="226"/>
      <c r="F3" s="226"/>
      <c r="G3" s="226"/>
      <c r="H3" s="226"/>
      <c r="I3" s="37"/>
      <c r="J3" s="37"/>
      <c r="T3" s="34"/>
    </row>
    <row r="4" spans="2:20" ht="4.5" customHeight="1">
      <c r="B4" s="37"/>
      <c r="C4" s="37"/>
      <c r="D4" s="37"/>
      <c r="E4" s="37"/>
      <c r="F4" s="37"/>
      <c r="G4" s="37"/>
      <c r="H4" s="37"/>
      <c r="I4" s="37"/>
      <c r="J4" s="37"/>
      <c r="T4" s="34"/>
    </row>
    <row r="5" spans="2:20" ht="15" customHeight="1">
      <c r="B5" s="37"/>
      <c r="C5" s="161" t="s">
        <v>1</v>
      </c>
      <c r="D5" s="227"/>
      <c r="E5" s="227"/>
      <c r="F5" s="227"/>
      <c r="G5" s="39" t="str">
        <f>IF(D5="","←直接入力","")</f>
        <v>←直接入力</v>
      </c>
      <c r="H5" s="37"/>
      <c r="N5" s="40"/>
      <c r="O5" s="40"/>
      <c r="P5" s="40"/>
      <c r="Q5" s="40"/>
      <c r="T5" s="34"/>
    </row>
    <row r="6" spans="2:20" ht="15" customHeight="1">
      <c r="B6" s="37"/>
      <c r="C6" s="161" t="s">
        <v>3</v>
      </c>
      <c r="D6" s="228"/>
      <c r="E6" s="228"/>
      <c r="F6" s="228"/>
      <c r="G6" s="39" t="str">
        <f>IF(D6="","←プルダウンから選択","")</f>
        <v>←プルダウンから選択</v>
      </c>
      <c r="I6" s="39" t="s">
        <v>2</v>
      </c>
      <c r="J6" s="39"/>
      <c r="N6" s="40"/>
      <c r="O6" s="40"/>
      <c r="P6" s="40"/>
      <c r="Q6" s="40"/>
      <c r="T6" s="34"/>
    </row>
    <row r="7" spans="2:20" ht="15" customHeight="1">
      <c r="B7" s="37"/>
      <c r="C7" s="233" t="s">
        <v>5</v>
      </c>
      <c r="D7" s="233"/>
      <c r="E7" s="233"/>
      <c r="F7" s="233"/>
      <c r="G7" s="168"/>
      <c r="H7" s="32"/>
      <c r="I7" s="39" t="s">
        <v>4</v>
      </c>
      <c r="J7" s="39"/>
      <c r="N7" s="40"/>
      <c r="O7" s="40"/>
      <c r="P7" s="40"/>
      <c r="Q7" s="40"/>
    </row>
    <row r="8" spans="2:20" ht="15" customHeight="1">
      <c r="C8" s="125" t="s">
        <v>7</v>
      </c>
      <c r="D8" s="187" t="s">
        <v>8</v>
      </c>
      <c r="E8" s="188"/>
      <c r="F8" s="125" t="s">
        <v>147</v>
      </c>
      <c r="G8" s="149"/>
      <c r="I8" s="39" t="s">
        <v>6</v>
      </c>
      <c r="J8" s="39"/>
      <c r="N8" s="40"/>
      <c r="O8" s="40"/>
      <c r="P8" s="40"/>
      <c r="Q8" s="40"/>
    </row>
    <row r="9" spans="2:20" ht="12" customHeight="1">
      <c r="C9" s="126"/>
      <c r="D9" s="231"/>
      <c r="E9" s="232"/>
      <c r="F9" s="126"/>
      <c r="G9" s="39" t="s">
        <v>11</v>
      </c>
      <c r="H9" s="41"/>
      <c r="I9" s="39" t="s">
        <v>9</v>
      </c>
      <c r="J9" s="39"/>
      <c r="N9" s="40"/>
      <c r="O9" s="40"/>
      <c r="P9" s="40"/>
      <c r="Q9" s="40"/>
    </row>
    <row r="10" spans="2:20" ht="12" customHeight="1">
      <c r="D10" s="31"/>
      <c r="G10" s="149"/>
      <c r="H10" s="41"/>
      <c r="I10" s="143" t="s">
        <v>12</v>
      </c>
      <c r="J10" s="143"/>
      <c r="N10" s="40"/>
      <c r="O10" s="40"/>
      <c r="P10" s="40"/>
      <c r="Q10" s="40"/>
    </row>
    <row r="11" spans="2:20" ht="12" customHeight="1">
      <c r="C11" s="164" t="s">
        <v>181</v>
      </c>
      <c r="D11" s="166"/>
      <c r="E11" s="166"/>
      <c r="F11" s="165"/>
      <c r="G11" s="39" t="s">
        <v>185</v>
      </c>
      <c r="H11" s="41"/>
      <c r="I11" s="143"/>
      <c r="J11" s="143"/>
      <c r="N11" s="40"/>
      <c r="O11" s="40"/>
      <c r="P11" s="40"/>
      <c r="Q11" s="40"/>
    </row>
    <row r="12" spans="2:20" ht="12" customHeight="1">
      <c r="C12" s="125" t="s">
        <v>7</v>
      </c>
      <c r="D12" s="187" t="s">
        <v>8</v>
      </c>
      <c r="E12" s="188"/>
      <c r="F12" s="125" t="s">
        <v>147</v>
      </c>
      <c r="G12" s="39"/>
      <c r="H12" s="41"/>
      <c r="I12" s="143"/>
      <c r="J12" s="143"/>
      <c r="N12" s="40"/>
      <c r="O12" s="40"/>
      <c r="P12" s="40"/>
      <c r="Q12" s="40"/>
    </row>
    <row r="13" spans="2:20" ht="12" customHeight="1">
      <c r="C13" s="183"/>
      <c r="D13" s="185"/>
      <c r="E13" s="186"/>
      <c r="F13" s="183"/>
      <c r="G13" s="39" t="s">
        <v>187</v>
      </c>
      <c r="H13" s="41"/>
      <c r="I13" s="143"/>
      <c r="J13" s="143"/>
      <c r="N13" s="40"/>
      <c r="O13" s="40"/>
      <c r="P13" s="40"/>
      <c r="Q13" s="40"/>
    </row>
    <row r="14" spans="2:20" ht="12" customHeight="1">
      <c r="C14" s="183"/>
      <c r="D14" s="185"/>
      <c r="E14" s="186"/>
      <c r="F14" s="183"/>
      <c r="G14" s="39" t="s">
        <v>188</v>
      </c>
      <c r="H14" s="41"/>
      <c r="I14" s="143"/>
      <c r="J14" s="143"/>
      <c r="N14" s="40"/>
      <c r="O14" s="40"/>
      <c r="P14" s="40"/>
      <c r="Q14" s="40"/>
    </row>
    <row r="15" spans="2:20" ht="12" customHeight="1">
      <c r="C15" s="169" t="str">
        <f>IF(C9&lt;&gt;"✓",IF(C14&lt;&gt;"","↑取組未選択:人数入力あり",""),IF(AND(C9="✓",C14&lt;&gt;""),IF(ISNUMBER(C14),IF(C13&lt;C14,"↑全ての事業者数＜参画事業者の要件を満たす事業者数",""),"↑数値以外を入力"),"↑参画事業者の要件を満たす事業者数：未入力"))</f>
        <v/>
      </c>
      <c r="D15" s="189" t="str">
        <f>IF(D9&lt;&gt;"✓",IF(D14&lt;&gt;"","↑取組未選択:人数入力あり",""),IF(AND(D9="✓",D14&lt;&gt;""),IF(ISNUMBER(D14),IF(D13&lt;D14,"↑全ての事業者数＜参画事業者の要件を満たす事業者数",""),"↑数値以外を入力"),"↑参画事業者の要件を満たす事業者数：未入力"))</f>
        <v/>
      </c>
      <c r="E15" s="189"/>
      <c r="F15" s="169" t="str">
        <f>IF(F9&lt;&gt;"✓",IF(F14&lt;&gt;"","↑取組未選択:人数入力あり",""),IF(AND(F9="✓",F14&lt;&gt;""),IF(ISNUMBER(F14),IF(F13&lt;F14,"↑全ての事業者数＜参画事業者の要件を満たす事業者数",""),"↑数値以外を入力"),"↑参画事業者の要件を満たす事業者数：未入力"))</f>
        <v/>
      </c>
      <c r="G15" s="39"/>
      <c r="H15" s="41"/>
      <c r="I15" s="143"/>
      <c r="J15" s="143"/>
      <c r="N15" s="40"/>
      <c r="O15" s="40"/>
      <c r="P15" s="40"/>
      <c r="Q15" s="40"/>
    </row>
    <row r="16" spans="2:20" ht="12" customHeight="1">
      <c r="D16" s="38"/>
      <c r="E16" s="38"/>
      <c r="F16" s="38"/>
      <c r="G16" s="39"/>
      <c r="H16" s="41"/>
      <c r="I16" s="143"/>
      <c r="N16" s="40"/>
      <c r="O16" s="40"/>
      <c r="P16" s="40"/>
      <c r="Q16" s="40"/>
    </row>
    <row r="17" spans="2:17" ht="14.25" customHeight="1">
      <c r="C17" s="170" t="s">
        <v>189</v>
      </c>
      <c r="D17" s="184">
        <f>_xlfn.MINIFS(C14:F14,C14:F14,"&lt;&gt;0")</f>
        <v>0</v>
      </c>
      <c r="E17" s="184"/>
      <c r="F17" s="167" t="s">
        <v>66</v>
      </c>
      <c r="G17" s="39"/>
      <c r="H17" s="41"/>
      <c r="I17" s="143"/>
      <c r="N17" s="40"/>
      <c r="O17" s="40"/>
      <c r="P17" s="40"/>
      <c r="Q17" s="40"/>
    </row>
    <row r="18" spans="2:17" ht="14.25" customHeight="1">
      <c r="C18" s="161" t="s">
        <v>186</v>
      </c>
      <c r="D18" s="249">
        <f>IF(_xlfn.MINIFS(C14:F14,C14:F14,"&lt;&gt;0")&lt;5,0,IF(10&lt;=_xlfn.MINIFS(C14:F14,C14:F14,"&lt;&gt;0"),3000,2000))</f>
        <v>0</v>
      </c>
      <c r="E18" s="249"/>
      <c r="F18" s="149" t="s">
        <v>190</v>
      </c>
      <c r="G18" s="39"/>
      <c r="H18" s="41"/>
      <c r="I18" s="143"/>
      <c r="N18" s="180"/>
      <c r="O18" s="40"/>
      <c r="P18" s="40"/>
      <c r="Q18" s="40"/>
    </row>
    <row r="19" spans="2:17" ht="12" customHeight="1">
      <c r="C19" s="167" t="s">
        <v>182</v>
      </c>
      <c r="D19" s="38"/>
      <c r="E19" s="38"/>
      <c r="F19" s="38"/>
      <c r="G19" s="38"/>
      <c r="H19" s="41"/>
      <c r="I19" s="143"/>
      <c r="N19" s="40"/>
      <c r="O19" s="40"/>
      <c r="P19" s="40"/>
      <c r="Q19" s="40"/>
    </row>
    <row r="20" spans="2:17" ht="12" customHeight="1">
      <c r="C20" s="149" t="s">
        <v>183</v>
      </c>
      <c r="D20" s="38"/>
      <c r="E20" s="38"/>
      <c r="F20" s="38"/>
      <c r="G20" s="38"/>
      <c r="H20" s="41"/>
      <c r="I20" s="143"/>
      <c r="N20" s="40"/>
      <c r="O20" s="40"/>
      <c r="P20" s="40"/>
      <c r="Q20" s="40"/>
    </row>
    <row r="21" spans="2:17" ht="12" customHeight="1">
      <c r="C21" s="167" t="s">
        <v>184</v>
      </c>
      <c r="D21" s="38"/>
      <c r="E21" s="38"/>
      <c r="F21" s="38"/>
      <c r="G21" s="38"/>
      <c r="H21" s="41"/>
      <c r="I21" s="143"/>
      <c r="N21" s="40"/>
      <c r="O21" s="40"/>
      <c r="P21" s="40"/>
      <c r="Q21" s="40"/>
    </row>
    <row r="22" spans="2:17" ht="12" customHeight="1">
      <c r="C22" s="38"/>
      <c r="D22" s="38"/>
      <c r="E22" s="38"/>
      <c r="F22" s="38"/>
      <c r="G22" s="38"/>
      <c r="H22" s="41"/>
      <c r="I22" s="143"/>
      <c r="N22" s="40"/>
      <c r="O22" s="40"/>
      <c r="P22" s="40"/>
      <c r="Q22" s="40"/>
    </row>
    <row r="23" spans="2:17" ht="4.5" customHeight="1">
      <c r="B23" s="37"/>
      <c r="G23" s="42"/>
      <c r="H23" s="43"/>
    </row>
    <row r="24" spans="2:17" ht="15" customHeight="1">
      <c r="B24" s="44" t="s">
        <v>13</v>
      </c>
      <c r="C24" s="45" t="s">
        <v>14</v>
      </c>
      <c r="D24" s="46"/>
      <c r="F24" s="47"/>
      <c r="H24" s="35" t="s">
        <v>15</v>
      </c>
      <c r="J24" s="151"/>
      <c r="K24" s="149" t="s">
        <v>152</v>
      </c>
    </row>
    <row r="25" spans="2:17" ht="40.5" customHeight="1">
      <c r="B25" s="229" t="s">
        <v>16</v>
      </c>
      <c r="C25" s="230"/>
      <c r="D25" s="162" t="s">
        <v>17</v>
      </c>
      <c r="E25" s="163" t="s">
        <v>18</v>
      </c>
      <c r="F25" s="163" t="s">
        <v>19</v>
      </c>
      <c r="G25" s="163" t="s">
        <v>20</v>
      </c>
      <c r="H25" s="163" t="s">
        <v>21</v>
      </c>
      <c r="I25" s="48" t="str">
        <f>IF((F28+F29+F30++F31+F33)&gt;0,"","※定額補助率 経費のみの計上は認められない。")</f>
        <v>※定額補助率 経費のみの計上は認められない。</v>
      </c>
      <c r="J25" s="172" t="s">
        <v>191</v>
      </c>
      <c r="K25" s="148" t="s">
        <v>150</v>
      </c>
      <c r="L25" s="49"/>
      <c r="M25" s="49"/>
      <c r="N25" s="159" t="s">
        <v>22</v>
      </c>
      <c r="P25" s="50"/>
    </row>
    <row r="26" spans="2:17" ht="16.149999999999999" customHeight="1">
      <c r="B26" s="225" t="s">
        <v>131</v>
      </c>
      <c r="C26" s="225"/>
      <c r="D26" s="51" t="s">
        <v>23</v>
      </c>
      <c r="E26" s="52">
        <f>'（別添）積算明細書'!H67</f>
        <v>0</v>
      </c>
      <c r="F26" s="52">
        <f t="shared" ref="F26:F34" si="0">E26</f>
        <v>0</v>
      </c>
      <c r="G26" s="52">
        <f>F26</f>
        <v>0</v>
      </c>
      <c r="H26" s="53">
        <f t="shared" ref="H26:H35" si="1">E26-G26</f>
        <v>0</v>
      </c>
      <c r="I26" s="151" t="str">
        <f t="shared" ref="I26:I34" si="2">IF(F26&lt;=0,"",IF(F26=INT(F26),"","「補助対象経費」を整数に修正"))</f>
        <v/>
      </c>
      <c r="J26" s="151"/>
      <c r="K26" s="147">
        <f>SUM(G26:G27,G32,G34,G35)</f>
        <v>0</v>
      </c>
      <c r="M26" s="155" t="s">
        <v>154</v>
      </c>
      <c r="N26" s="158" t="str">
        <f t="shared" ref="N26:N35" si="3">IF(G26=0,"",G26/$G$37)</f>
        <v/>
      </c>
    </row>
    <row r="27" spans="2:17" ht="16.149999999999999" customHeight="1">
      <c r="B27" s="225" t="s">
        <v>129</v>
      </c>
      <c r="C27" s="225"/>
      <c r="D27" s="51" t="s">
        <v>23</v>
      </c>
      <c r="E27" s="52">
        <f>'（別添）積算明細書'!H98</f>
        <v>0</v>
      </c>
      <c r="F27" s="52">
        <f t="shared" si="0"/>
        <v>0</v>
      </c>
      <c r="G27" s="52">
        <f>F27</f>
        <v>0</v>
      </c>
      <c r="H27" s="53">
        <f t="shared" si="1"/>
        <v>0</v>
      </c>
      <c r="I27" s="151" t="str">
        <f t="shared" si="2"/>
        <v/>
      </c>
      <c r="J27" s="172" t="s">
        <v>192</v>
      </c>
      <c r="K27" s="148" t="s">
        <v>149</v>
      </c>
      <c r="L27" s="149"/>
      <c r="M27" s="155" t="s">
        <v>155</v>
      </c>
      <c r="N27" s="154" t="str">
        <f t="shared" si="3"/>
        <v/>
      </c>
    </row>
    <row r="28" spans="2:17" ht="16.149999999999999" customHeight="1">
      <c r="B28" s="225" t="s">
        <v>130</v>
      </c>
      <c r="C28" s="225"/>
      <c r="D28" s="54">
        <v>0.66666666666666663</v>
      </c>
      <c r="E28" s="52">
        <f>'（別添）積算明細書'!H129</f>
        <v>0</v>
      </c>
      <c r="F28" s="52">
        <f t="shared" si="0"/>
        <v>0</v>
      </c>
      <c r="G28" s="55">
        <f>ROUNDDOWN(F28*2/3,0)</f>
        <v>0</v>
      </c>
      <c r="H28" s="53">
        <f t="shared" si="1"/>
        <v>0</v>
      </c>
      <c r="I28" s="151" t="str">
        <f>IF(F28&lt;=0,"",IF(F28=INT(F28),"","「補助対象経費」を整数に修正"))</f>
        <v/>
      </c>
      <c r="K28" s="147">
        <f>ROUNDDOWN(K26/2,0)</f>
        <v>0</v>
      </c>
      <c r="L28" s="173"/>
      <c r="M28" s="155" t="s">
        <v>156</v>
      </c>
      <c r="N28" s="154" t="str">
        <f t="shared" si="3"/>
        <v/>
      </c>
    </row>
    <row r="29" spans="2:17" ht="16.149999999999999" customHeight="1">
      <c r="B29" s="225" t="s">
        <v>132</v>
      </c>
      <c r="C29" s="225"/>
      <c r="D29" s="54">
        <v>0.66666666666666663</v>
      </c>
      <c r="E29" s="52">
        <f>'（別添）積算明細書'!H160</f>
        <v>0</v>
      </c>
      <c r="F29" s="52">
        <f t="shared" si="0"/>
        <v>0</v>
      </c>
      <c r="G29" s="55">
        <f t="shared" ref="G29:G30" si="4">ROUNDDOWN(F29*2/3,0)</f>
        <v>0</v>
      </c>
      <c r="H29" s="53">
        <f t="shared" si="1"/>
        <v>0</v>
      </c>
      <c r="I29" s="151" t="str">
        <f t="shared" si="2"/>
        <v/>
      </c>
      <c r="J29" s="172" t="s">
        <v>193</v>
      </c>
      <c r="K29" s="148" t="s">
        <v>194</v>
      </c>
      <c r="L29" s="174"/>
      <c r="M29" s="155" t="s">
        <v>157</v>
      </c>
      <c r="N29" s="154" t="str">
        <f t="shared" si="3"/>
        <v/>
      </c>
    </row>
    <row r="30" spans="2:17" ht="16.149999999999999" customHeight="1">
      <c r="B30" s="225" t="s">
        <v>133</v>
      </c>
      <c r="C30" s="225"/>
      <c r="D30" s="54">
        <v>0.66666666666666663</v>
      </c>
      <c r="E30" s="52">
        <f>'（別添）積算明細書'!H221</f>
        <v>0</v>
      </c>
      <c r="F30" s="52">
        <f t="shared" si="0"/>
        <v>0</v>
      </c>
      <c r="G30" s="55">
        <f t="shared" si="4"/>
        <v>0</v>
      </c>
      <c r="H30" s="53">
        <f t="shared" si="1"/>
        <v>0</v>
      </c>
      <c r="I30" s="151" t="str">
        <f t="shared" si="2"/>
        <v/>
      </c>
      <c r="J30" s="151"/>
      <c r="K30" s="171">
        <f>F35-SUM(F26:F27,F32,F34)</f>
        <v>0</v>
      </c>
      <c r="L30" s="173"/>
      <c r="M30" s="155" t="s">
        <v>158</v>
      </c>
      <c r="N30" s="154" t="str">
        <f t="shared" si="3"/>
        <v/>
      </c>
    </row>
    <row r="31" spans="2:17" ht="16.149999999999999" customHeight="1">
      <c r="B31" s="212" t="s">
        <v>148</v>
      </c>
      <c r="C31" s="213"/>
      <c r="D31" s="54">
        <v>0.66666666666666663</v>
      </c>
      <c r="E31" s="52">
        <f>IF(AND(C9&lt;&gt;"✓",D9&lt;&gt;"✓",F9="✓"),0,'（別添）積算明細書'!H252)</f>
        <v>0</v>
      </c>
      <c r="F31" s="52">
        <f t="shared" si="0"/>
        <v>0</v>
      </c>
      <c r="G31" s="55">
        <f>IF(AND(C9&lt;&gt;"✓",D9&lt;&gt;"✓",F9="✓"),0,ROUNDDOWN(F31*2/3,0))</f>
        <v>0</v>
      </c>
      <c r="H31" s="53">
        <f t="shared" si="1"/>
        <v>0</v>
      </c>
      <c r="I31" s="151" t="str">
        <f>IF(F31&lt;=0,"",IF(F31=INT(F31),"","「補助対象経費」を整数に修正"))</f>
        <v/>
      </c>
      <c r="J31" s="172" t="s">
        <v>196</v>
      </c>
      <c r="K31" s="125" t="s">
        <v>153</v>
      </c>
      <c r="L31" s="174"/>
      <c r="M31" s="156" t="s">
        <v>159</v>
      </c>
      <c r="N31" s="154" t="str">
        <f t="shared" si="3"/>
        <v/>
      </c>
    </row>
    <row r="32" spans="2:17" ht="16.149999999999999" customHeight="1">
      <c r="B32" s="212" t="s">
        <v>136</v>
      </c>
      <c r="C32" s="213"/>
      <c r="D32" s="51" t="s">
        <v>23</v>
      </c>
      <c r="E32" s="52">
        <f>'（別添）積算明細書'!H283</f>
        <v>0</v>
      </c>
      <c r="F32" s="52">
        <f t="shared" si="0"/>
        <v>0</v>
      </c>
      <c r="G32" s="52">
        <f>F32</f>
        <v>0</v>
      </c>
      <c r="H32" s="53">
        <f t="shared" si="1"/>
        <v>0</v>
      </c>
      <c r="I32" s="151" t="str">
        <f t="shared" si="2"/>
        <v/>
      </c>
      <c r="J32" s="151"/>
      <c r="K32" s="153" t="str">
        <f>IF(K28&lt;F35,"×","○")</f>
        <v>○</v>
      </c>
      <c r="L32" s="173"/>
      <c r="M32" s="155" t="s">
        <v>160</v>
      </c>
      <c r="N32" s="154" t="str">
        <f t="shared" si="3"/>
        <v/>
      </c>
    </row>
    <row r="33" spans="2:19" ht="16.149999999999999" customHeight="1">
      <c r="B33" s="212" t="s">
        <v>137</v>
      </c>
      <c r="C33" s="213"/>
      <c r="D33" s="54">
        <v>0.66666666666666663</v>
      </c>
      <c r="E33" s="52">
        <f>'（別添）積算明細書'!H314</f>
        <v>0</v>
      </c>
      <c r="F33" s="52">
        <f t="shared" si="0"/>
        <v>0</v>
      </c>
      <c r="G33" s="55">
        <f>ROUNDDOWN(F33*2/3,0)</f>
        <v>0</v>
      </c>
      <c r="H33" s="53">
        <f t="shared" si="1"/>
        <v>0</v>
      </c>
      <c r="I33" s="151" t="str">
        <f t="shared" si="2"/>
        <v/>
      </c>
      <c r="J33" s="152"/>
      <c r="K33" s="173" t="s">
        <v>195</v>
      </c>
      <c r="L33" s="175"/>
      <c r="M33" s="155" t="s">
        <v>161</v>
      </c>
      <c r="N33" s="154" t="str">
        <f t="shared" si="3"/>
        <v/>
      </c>
    </row>
    <row r="34" spans="2:19" ht="16.149999999999999" customHeight="1">
      <c r="B34" s="212" t="s">
        <v>138</v>
      </c>
      <c r="C34" s="213"/>
      <c r="D34" s="51" t="s">
        <v>23</v>
      </c>
      <c r="E34" s="52">
        <f>'（別添）積算明細書'!H345</f>
        <v>0</v>
      </c>
      <c r="F34" s="52">
        <f t="shared" si="0"/>
        <v>0</v>
      </c>
      <c r="G34" s="52">
        <f>F34</f>
        <v>0</v>
      </c>
      <c r="H34" s="53">
        <f t="shared" si="1"/>
        <v>0</v>
      </c>
      <c r="I34" s="151" t="str">
        <f t="shared" si="2"/>
        <v/>
      </c>
      <c r="L34" s="176"/>
      <c r="M34" s="155" t="s">
        <v>162</v>
      </c>
      <c r="N34" s="154" t="str">
        <f t="shared" si="3"/>
        <v/>
      </c>
    </row>
    <row r="35" spans="2:19" ht="16.149999999999999" customHeight="1">
      <c r="B35" s="212" t="s">
        <v>151</v>
      </c>
      <c r="C35" s="213"/>
      <c r="D35" s="51" t="s">
        <v>23</v>
      </c>
      <c r="E35" s="52">
        <f>'（別添）積算明細書'!H446</f>
        <v>0</v>
      </c>
      <c r="F35" s="52">
        <f>E35</f>
        <v>0</v>
      </c>
      <c r="G35" s="52">
        <f>MIN(F35,F35-K30)</f>
        <v>0</v>
      </c>
      <c r="H35" s="53">
        <f t="shared" si="1"/>
        <v>0</v>
      </c>
      <c r="I35" s="151" t="str">
        <f>IF(F35&lt;=0,"",IF(F35=INT(F35),IF(K28&lt;F35,"※ ⑩委託・外注費の上限は経費区分「①、②、⑦、⑨、➉」の合計額の1/2以内に減額調整",""),"「補助対象経費」を整数に修正"))</f>
        <v/>
      </c>
      <c r="J35" s="48"/>
      <c r="K35" s="149" t="s">
        <v>197</v>
      </c>
      <c r="L35" s="177"/>
      <c r="M35" s="155" t="s">
        <v>163</v>
      </c>
      <c r="N35" s="154" t="str">
        <f t="shared" si="3"/>
        <v/>
      </c>
    </row>
    <row r="36" spans="2:19" ht="16.149999999999999" customHeight="1" thickBot="1">
      <c r="B36" s="220" t="s">
        <v>24</v>
      </c>
      <c r="C36" s="221"/>
      <c r="D36" s="57"/>
      <c r="E36" s="56">
        <f>'（別添）積算明細書'!H477</f>
        <v>0</v>
      </c>
      <c r="F36" s="58"/>
      <c r="G36" s="58"/>
      <c r="H36" s="59">
        <f>E36</f>
        <v>0</v>
      </c>
      <c r="I36" s="152"/>
      <c r="J36" s="172" t="s">
        <v>200</v>
      </c>
      <c r="K36" s="148" t="s">
        <v>198</v>
      </c>
      <c r="L36" s="173"/>
      <c r="N36" s="157">
        <f>SUM(N26:N35)</f>
        <v>0</v>
      </c>
    </row>
    <row r="37" spans="2:19" ht="16.149999999999999" customHeight="1" thickTop="1">
      <c r="B37" s="222" t="s">
        <v>25</v>
      </c>
      <c r="C37" s="222"/>
      <c r="D37" s="60"/>
      <c r="E37" s="61">
        <f>SUM(E26:E36)</f>
        <v>0</v>
      </c>
      <c r="F37" s="61">
        <f>SUM(F26:F35)</f>
        <v>0</v>
      </c>
      <c r="G37" s="179">
        <f>MIN(SUM(G26:G35),D18*10000)</f>
        <v>0</v>
      </c>
      <c r="H37" s="61">
        <f>SUM(H26:H36)</f>
        <v>0</v>
      </c>
      <c r="I37" s="151" t="str">
        <f>IF(D18*10000&lt;SUM(G26:G35),"※「補助金要望額Ⓐ」が上限額を超えています。1申請者1公募回につき"&amp;D18&amp;"万円に減額調整。","")</f>
        <v/>
      </c>
      <c r="J37" s="151"/>
      <c r="K37" s="147">
        <f>SUM(G26:G35)</f>
        <v>0</v>
      </c>
      <c r="Q37" s="31"/>
      <c r="R37" s="31"/>
    </row>
    <row r="38" spans="2:19" s="62" customFormat="1" ht="14.1" customHeight="1">
      <c r="B38" s="150" t="s">
        <v>26</v>
      </c>
      <c r="D38" s="150"/>
      <c r="E38" s="150"/>
      <c r="F38" s="150"/>
      <c r="G38" s="150"/>
      <c r="H38" s="150"/>
      <c r="I38" s="178"/>
      <c r="J38" s="172" t="s">
        <v>192</v>
      </c>
      <c r="K38" s="148" t="s">
        <v>199</v>
      </c>
      <c r="M38" s="33"/>
      <c r="N38" s="34"/>
      <c r="O38" s="34"/>
      <c r="P38" s="34"/>
      <c r="S38" s="34"/>
    </row>
    <row r="39" spans="2:19" s="62" customFormat="1" ht="14.1" customHeight="1">
      <c r="B39" s="63" t="s">
        <v>164</v>
      </c>
      <c r="D39" s="64"/>
      <c r="E39" s="65"/>
      <c r="F39" s="65"/>
      <c r="G39" s="65"/>
      <c r="H39" s="65"/>
      <c r="I39" s="65"/>
      <c r="J39" s="151"/>
      <c r="K39" s="147">
        <f>IF(0&lt;SUM(G26:G35)-D18*10000,SUM(G26:G35)-D18*10000,0)</f>
        <v>0</v>
      </c>
      <c r="M39" s="33"/>
      <c r="N39" s="34"/>
      <c r="O39" s="34"/>
      <c r="P39" s="34"/>
      <c r="S39" s="34"/>
    </row>
    <row r="40" spans="2:19" s="62" customFormat="1" ht="14.1" customHeight="1">
      <c r="C40" s="215"/>
      <c r="D40" s="215"/>
      <c r="E40" s="215"/>
      <c r="F40" s="215"/>
      <c r="G40" s="215"/>
      <c r="H40" s="215"/>
      <c r="I40" s="66"/>
      <c r="J40" s="143"/>
      <c r="K40" s="125" t="s">
        <v>153</v>
      </c>
      <c r="L40" s="33"/>
      <c r="M40" s="33"/>
      <c r="N40" s="34"/>
      <c r="O40" s="34"/>
      <c r="P40" s="34"/>
      <c r="S40" s="34"/>
    </row>
    <row r="41" spans="2:19" s="62" customFormat="1" ht="14.1" customHeight="1">
      <c r="C41" s="215"/>
      <c r="D41" s="215"/>
      <c r="E41" s="215"/>
      <c r="F41" s="215"/>
      <c r="G41" s="215"/>
      <c r="H41" s="215"/>
      <c r="I41" s="66"/>
      <c r="J41" s="143"/>
      <c r="K41" s="153" t="str">
        <f>IF(D18*10000&lt;SUM(G26:G35),"×","○")</f>
        <v>○</v>
      </c>
      <c r="L41" s="33"/>
      <c r="M41" s="33"/>
      <c r="N41" s="34"/>
      <c r="O41" s="34"/>
      <c r="P41" s="34"/>
      <c r="S41" s="34"/>
    </row>
    <row r="42" spans="2:19" s="62" customFormat="1" ht="14.1" hidden="1" customHeight="1">
      <c r="C42" s="215"/>
      <c r="D42" s="215"/>
      <c r="E42" s="215"/>
      <c r="F42" s="215"/>
      <c r="G42" s="215"/>
      <c r="H42" s="215"/>
      <c r="I42" s="66"/>
      <c r="L42" s="33"/>
      <c r="M42" s="33"/>
      <c r="N42" s="34"/>
      <c r="O42" s="34"/>
      <c r="P42" s="34"/>
      <c r="S42" s="34"/>
    </row>
    <row r="43" spans="2:19" s="62" customFormat="1" ht="14.1" hidden="1" customHeight="1">
      <c r="C43" s="215"/>
      <c r="D43" s="215"/>
      <c r="E43" s="215"/>
      <c r="F43" s="215"/>
      <c r="G43" s="215"/>
      <c r="H43" s="215"/>
      <c r="I43" s="66"/>
      <c r="L43" s="33"/>
      <c r="M43" s="33"/>
      <c r="N43" s="34"/>
      <c r="O43" s="34"/>
      <c r="P43" s="34"/>
      <c r="S43" s="34"/>
    </row>
    <row r="44" spans="2:19" ht="4.5" hidden="1" customHeight="1">
      <c r="C44" s="67"/>
      <c r="D44" s="68"/>
      <c r="H44" s="69"/>
      <c r="Q44" s="31"/>
      <c r="R44" s="31"/>
    </row>
    <row r="45" spans="2:19" ht="15" customHeight="1">
      <c r="B45" s="70" t="s">
        <v>27</v>
      </c>
      <c r="C45" s="71" t="s">
        <v>28</v>
      </c>
      <c r="D45" s="31"/>
      <c r="F45" s="71"/>
      <c r="G45" s="71"/>
      <c r="H45" s="72"/>
      <c r="I45" s="71"/>
      <c r="J45" s="71"/>
      <c r="K45" s="173" t="s">
        <v>201</v>
      </c>
      <c r="Q45" s="31"/>
      <c r="R45" s="31"/>
    </row>
    <row r="46" spans="2:19" ht="15" customHeight="1">
      <c r="B46" s="195" t="s">
        <v>29</v>
      </c>
      <c r="C46" s="195"/>
      <c r="D46" s="195"/>
      <c r="E46" s="195" t="s">
        <v>30</v>
      </c>
      <c r="F46" s="195"/>
      <c r="G46" s="216" t="s">
        <v>31</v>
      </c>
      <c r="H46" s="217"/>
      <c r="I46" s="73"/>
      <c r="J46" s="73"/>
      <c r="Q46" s="31"/>
      <c r="R46" s="31"/>
    </row>
    <row r="47" spans="2:19" ht="15" customHeight="1">
      <c r="B47" s="74" t="s">
        <v>32</v>
      </c>
      <c r="C47" s="203" t="s">
        <v>33</v>
      </c>
      <c r="D47" s="203"/>
      <c r="E47" s="196">
        <f>G37</f>
        <v>0</v>
      </c>
      <c r="F47" s="196"/>
      <c r="G47" s="218"/>
      <c r="H47" s="219"/>
      <c r="I47" s="75"/>
      <c r="J47" s="75"/>
      <c r="Q47" s="31"/>
      <c r="R47" s="31"/>
    </row>
    <row r="48" spans="2:19" ht="15" customHeight="1">
      <c r="B48" s="223" t="s">
        <v>34</v>
      </c>
      <c r="C48" s="203" t="s">
        <v>35</v>
      </c>
      <c r="D48" s="203"/>
      <c r="E48" s="197"/>
      <c r="F48" s="198"/>
      <c r="G48" s="218"/>
      <c r="H48" s="219"/>
      <c r="I48" s="76"/>
      <c r="J48" s="76"/>
      <c r="Q48" s="31"/>
      <c r="R48" s="31"/>
    </row>
    <row r="49" spans="2:18" ht="15" customHeight="1">
      <c r="B49" s="223"/>
      <c r="C49" s="203" t="s">
        <v>36</v>
      </c>
      <c r="D49" s="203"/>
      <c r="E49" s="197"/>
      <c r="F49" s="198"/>
      <c r="G49" s="190"/>
      <c r="H49" s="191"/>
      <c r="I49" s="75"/>
      <c r="J49" s="75"/>
      <c r="K49" s="181" t="s">
        <v>202</v>
      </c>
      <c r="Q49" s="31"/>
      <c r="R49" s="31"/>
    </row>
    <row r="50" spans="2:18" ht="15" customHeight="1" thickBot="1">
      <c r="B50" s="224"/>
      <c r="C50" s="204" t="s">
        <v>37</v>
      </c>
      <c r="D50" s="204"/>
      <c r="E50" s="199"/>
      <c r="F50" s="200"/>
      <c r="G50" s="192"/>
      <c r="H50" s="193"/>
      <c r="I50" s="75"/>
      <c r="J50" s="75"/>
      <c r="K50" s="171">
        <f>E37-SUM(E47:F50)</f>
        <v>0</v>
      </c>
    </row>
    <row r="51" spans="2:18" ht="15" customHeight="1" thickTop="1">
      <c r="B51" s="77" t="s">
        <v>38</v>
      </c>
      <c r="C51" s="205" t="s">
        <v>39</v>
      </c>
      <c r="D51" s="205"/>
      <c r="E51" s="211">
        <f>SUM(E47:E50)</f>
        <v>0</v>
      </c>
      <c r="F51" s="211"/>
      <c r="G51" s="206" t="s">
        <v>40</v>
      </c>
      <c r="H51" s="207"/>
      <c r="I51" s="78" t="s">
        <v>41</v>
      </c>
      <c r="J51" s="78"/>
    </row>
    <row r="52" spans="2:18" ht="4.5" customHeight="1">
      <c r="E52" s="32"/>
      <c r="I52" s="33"/>
      <c r="J52" s="33"/>
    </row>
    <row r="53" spans="2:18" ht="15" customHeight="1">
      <c r="B53" s="70" t="s">
        <v>42</v>
      </c>
      <c r="C53" s="71" t="s">
        <v>43</v>
      </c>
      <c r="E53" s="37"/>
      <c r="G53" s="71"/>
      <c r="H53" s="71"/>
      <c r="I53" s="33"/>
      <c r="J53" s="33"/>
    </row>
    <row r="54" spans="2:18" ht="15" customHeight="1">
      <c r="B54" s="195" t="s">
        <v>44</v>
      </c>
      <c r="C54" s="195"/>
      <c r="D54" s="195"/>
      <c r="E54" s="208" t="s">
        <v>30</v>
      </c>
      <c r="F54" s="208"/>
      <c r="G54" s="208" t="s">
        <v>31</v>
      </c>
      <c r="H54" s="209"/>
      <c r="I54" s="33"/>
      <c r="J54" s="33"/>
    </row>
    <row r="55" spans="2:18" ht="15" customHeight="1">
      <c r="B55" s="203" t="s">
        <v>35</v>
      </c>
      <c r="C55" s="203"/>
      <c r="D55" s="203"/>
      <c r="E55" s="190"/>
      <c r="F55" s="191"/>
      <c r="G55" s="214"/>
      <c r="H55" s="214"/>
      <c r="I55" s="33"/>
      <c r="J55" s="33"/>
    </row>
    <row r="56" spans="2:18" ht="15" customHeight="1">
      <c r="B56" s="203" t="s">
        <v>36</v>
      </c>
      <c r="C56" s="203"/>
      <c r="D56" s="203"/>
      <c r="E56" s="190"/>
      <c r="F56" s="191"/>
      <c r="G56" s="190"/>
      <c r="H56" s="191"/>
      <c r="I56" s="33"/>
      <c r="J56" s="33"/>
      <c r="K56" s="182" t="s">
        <v>203</v>
      </c>
    </row>
    <row r="57" spans="2:18" ht="15" customHeight="1" thickBot="1">
      <c r="B57" s="204" t="s">
        <v>37</v>
      </c>
      <c r="C57" s="204"/>
      <c r="D57" s="204"/>
      <c r="E57" s="192"/>
      <c r="F57" s="193"/>
      <c r="G57" s="192"/>
      <c r="H57" s="193"/>
      <c r="I57" s="33"/>
      <c r="J57" s="33"/>
      <c r="K57" s="171">
        <f>G37-SUM(E55:F57)</f>
        <v>0</v>
      </c>
    </row>
    <row r="58" spans="2:18" ht="15" customHeight="1" thickTop="1">
      <c r="B58" s="194" t="s">
        <v>33</v>
      </c>
      <c r="C58" s="194"/>
      <c r="D58" s="194"/>
      <c r="E58" s="210">
        <f>SUM(E55:E57)</f>
        <v>0</v>
      </c>
      <c r="F58" s="210"/>
      <c r="G58" s="201" t="s">
        <v>45</v>
      </c>
      <c r="H58" s="202"/>
      <c r="I58" s="78" t="s">
        <v>46</v>
      </c>
      <c r="J58" s="78"/>
    </row>
  </sheetData>
  <sheetProtection algorithmName="SHA-512" hashValue="yI7a2IDKq+uut0Uri4NrzY0AWon0BIrDNiZ6h3KJNhlPtO4dL9CtpzegGbAmuyVaXha+/0QmMe7huZYcuigHaA==" saltValue="fUU3Ime4SCuN8CUKqbBM7g==" spinCount="100000" sheet="1" objects="1" scenarios="1"/>
  <mergeCells count="63">
    <mergeCell ref="B34:C34"/>
    <mergeCell ref="B35:C35"/>
    <mergeCell ref="B28:C28"/>
    <mergeCell ref="B3:H3"/>
    <mergeCell ref="D5:F5"/>
    <mergeCell ref="D6:F6"/>
    <mergeCell ref="B25:C25"/>
    <mergeCell ref="B26:C26"/>
    <mergeCell ref="B27:C27"/>
    <mergeCell ref="D8:E8"/>
    <mergeCell ref="D9:E9"/>
    <mergeCell ref="C7:F7"/>
    <mergeCell ref="B29:C29"/>
    <mergeCell ref="B30:C30"/>
    <mergeCell ref="B31:C31"/>
    <mergeCell ref="B32:C32"/>
    <mergeCell ref="B33:C33"/>
    <mergeCell ref="G55:H55"/>
    <mergeCell ref="C43:H43"/>
    <mergeCell ref="G46:H46"/>
    <mergeCell ref="G47:H47"/>
    <mergeCell ref="B36:C36"/>
    <mergeCell ref="B37:C37"/>
    <mergeCell ref="C40:H40"/>
    <mergeCell ref="C41:H41"/>
    <mergeCell ref="C42:H42"/>
    <mergeCell ref="B46:D46"/>
    <mergeCell ref="C47:D47"/>
    <mergeCell ref="B48:B50"/>
    <mergeCell ref="G48:H48"/>
    <mergeCell ref="G49:H49"/>
    <mergeCell ref="G50:H50"/>
    <mergeCell ref="G58:H58"/>
    <mergeCell ref="C48:D48"/>
    <mergeCell ref="C49:D49"/>
    <mergeCell ref="C50:D50"/>
    <mergeCell ref="C51:D51"/>
    <mergeCell ref="B54:D54"/>
    <mergeCell ref="G56:H56"/>
    <mergeCell ref="G57:H57"/>
    <mergeCell ref="B56:D56"/>
    <mergeCell ref="B57:D57"/>
    <mergeCell ref="G51:H51"/>
    <mergeCell ref="G54:H54"/>
    <mergeCell ref="B55:D55"/>
    <mergeCell ref="E58:F58"/>
    <mergeCell ref="E51:F51"/>
    <mergeCell ref="E54:F54"/>
    <mergeCell ref="E55:F55"/>
    <mergeCell ref="E56:F56"/>
    <mergeCell ref="E57:F57"/>
    <mergeCell ref="B58:D58"/>
    <mergeCell ref="E46:F46"/>
    <mergeCell ref="E47:F47"/>
    <mergeCell ref="E48:F48"/>
    <mergeCell ref="E49:F49"/>
    <mergeCell ref="E50:F50"/>
    <mergeCell ref="D18:E18"/>
    <mergeCell ref="D17:E17"/>
    <mergeCell ref="D14:E14"/>
    <mergeCell ref="D12:E12"/>
    <mergeCell ref="D13:E13"/>
    <mergeCell ref="D15:E15"/>
  </mergeCells>
  <phoneticPr fontId="7"/>
  <conditionalFormatting sqref="C13:C14">
    <cfRule type="expression" dxfId="74" priority="11">
      <formula>$C$9&lt;&gt;"✓"</formula>
    </cfRule>
  </conditionalFormatting>
  <conditionalFormatting sqref="C9:D9 F9">
    <cfRule type="containsBlanks" dxfId="73" priority="23">
      <formula>LEN(TRIM(C9))=0</formula>
    </cfRule>
  </conditionalFormatting>
  <conditionalFormatting sqref="C13:D14">
    <cfRule type="expression" dxfId="72" priority="12">
      <formula>IF(LEN(C13)&lt;1,TRUE,FALSE)</formula>
    </cfRule>
  </conditionalFormatting>
  <conditionalFormatting sqref="D13:E14">
    <cfRule type="expression" dxfId="71" priority="10">
      <formula>$D$9&lt;&gt;"✓"</formula>
    </cfRule>
  </conditionalFormatting>
  <conditionalFormatting sqref="D5:F6">
    <cfRule type="expression" dxfId="70" priority="40">
      <formula>IF(LEN(D5)&lt;1,TRUE,FALSE)</formula>
    </cfRule>
  </conditionalFormatting>
  <conditionalFormatting sqref="E47">
    <cfRule type="cellIs" dxfId="69" priority="48" stopIfTrue="1" operator="notEqual">
      <formula>$G$37</formula>
    </cfRule>
  </conditionalFormatting>
  <conditionalFormatting sqref="E51">
    <cfRule type="cellIs" dxfId="68" priority="47" stopIfTrue="1" operator="notEqual">
      <formula>$E$37</formula>
    </cfRule>
  </conditionalFormatting>
  <conditionalFormatting sqref="E58">
    <cfRule type="cellIs" dxfId="67" priority="49" stopIfTrue="1" operator="notEqual">
      <formula>$E$47</formula>
    </cfRule>
  </conditionalFormatting>
  <conditionalFormatting sqref="E48:F50">
    <cfRule type="expression" dxfId="66" priority="29">
      <formula>IF(LEN(E48)&lt;1,TRUE,FALSE)</formula>
    </cfRule>
  </conditionalFormatting>
  <conditionalFormatting sqref="E55:F57">
    <cfRule type="expression" dxfId="65" priority="26">
      <formula>IF(LEN(E55)&lt;1,TRUE,FALSE)</formula>
    </cfRule>
  </conditionalFormatting>
  <conditionalFormatting sqref="F13:F14">
    <cfRule type="expression" dxfId="64" priority="9">
      <formula>$F$9&lt;&gt;"✓"</formula>
    </cfRule>
    <cfRule type="expression" dxfId="63" priority="20">
      <formula>IF(LEN(F13)&lt;1,TRUE,FALSE)</formula>
    </cfRule>
  </conditionalFormatting>
  <conditionalFormatting sqref="G37">
    <cfRule type="expression" dxfId="62" priority="3">
      <formula>D18*10000&lt;G37</formula>
    </cfRule>
  </conditionalFormatting>
  <conditionalFormatting sqref="G35:H35">
    <cfRule type="expression" dxfId="61" priority="521">
      <formula>0&lt;$K$30</formula>
    </cfRule>
  </conditionalFormatting>
  <conditionalFormatting sqref="G49:H50">
    <cfRule type="expression" dxfId="60" priority="34">
      <formula>IF(LEN(G49)&lt;1,TRUE,FALSE)</formula>
    </cfRule>
  </conditionalFormatting>
  <conditionalFormatting sqref="G56:H57">
    <cfRule type="expression" dxfId="59" priority="32">
      <formula>IF(LEN(G56)&lt;1,TRUE,FALSE)</formula>
    </cfRule>
  </conditionalFormatting>
  <conditionalFormatting sqref="K39">
    <cfRule type="expression" dxfId="58" priority="2">
      <formula>0&lt;$K$39</formula>
    </cfRule>
  </conditionalFormatting>
  <conditionalFormatting sqref="K41">
    <cfRule type="cellIs" dxfId="57" priority="1" operator="equal">
      <formula>"×"</formula>
    </cfRule>
  </conditionalFormatting>
  <dataValidations count="8">
    <dataValidation allowBlank="1" showInputMessage="1" showErrorMessage="1" promptTitle="2.資金調達内訳の「Ⓐ補助金要望額」と一致させてください" prompt="不一致の場合、赤色でエラー表示されます" sqref="E58" xr:uid="{A2E12FE9-0B32-4D83-BD17-03826F5015D8}"/>
    <dataValidation imeMode="halfAlpha" allowBlank="1" showErrorMessage="1" errorTitle="自動的に計算されます" error="自動的に計算されます" promptTitle="自動的に計算されます" prompt="水色の箇所に記入すると_x000a_自動的に計算されます" sqref="F36 E26:E36" xr:uid="{5E248CF8-42DE-4533-9C64-3580F21C39DC}"/>
    <dataValidation type="list" allowBlank="1" showInputMessage="1" showErrorMessage="1" sqref="D6:F6" xr:uid="{0B8F1813-9B27-4836-A79B-2439395E0A2A}">
      <formula1>"税別,税込"</formula1>
    </dataValidation>
    <dataValidation type="whole" operator="equal" showInputMessage="1" showErrorMessage="1" promptTitle="1.経費配分内訳の「補助事業に要する経費」と一致させてください" prompt="不一致の場合、赤色でエラー表示されます" sqref="E51" xr:uid="{97D15486-17BA-40B8-8FD4-55CB0A21BCC1}">
      <formula1>SUM(G37:H37)</formula1>
    </dataValidation>
    <dataValidation imeMode="halfAlpha" allowBlank="1" showInputMessage="1" showErrorMessage="1" errorTitle="自動的に計算されます" error="自動的に計算されます" promptTitle="自動的に計算されます" prompt="自動的に計算されます" sqref="E37:H37" xr:uid="{53E461B8-7AB9-4E80-B6F1-39AC5F95BCC4}"/>
    <dataValidation allowBlank="1" showErrorMessage="1" promptTitle="①経費配分内訳の補助金要望額と一致させてください" prompt="不一致の場合、赤色でエラー表示されます" sqref="E47:F47" xr:uid="{E1260187-B675-41F0-BBCC-72C1F248EAF1}"/>
    <dataValidation type="list" allowBlank="1" showInputMessage="1" showErrorMessage="1" sqref="F9 C9:D9" xr:uid="{618B5A6D-1AA6-44CC-BC27-9E78CBA602BF}">
      <formula1>"✓"</formula1>
    </dataValidation>
    <dataValidation imeMode="halfAlpha" allowBlank="1" showInputMessage="1" showErrorMessage="1" sqref="F26:F35 G26:H36" xr:uid="{9AB2B8E6-9E8A-4A40-B80B-49D7CE5D3F48}"/>
  </dataValidations>
  <printOptions horizontalCentered="1" verticalCentered="1"/>
  <pageMargins left="0.39370078740157483" right="0.39370078740157483" top="0.74803149606299213" bottom="0.74803149606299213" header="0.31496062992125984" footer="0.31496062992125984"/>
  <pageSetup paperSize="9" scale="8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08B5-399F-4734-9679-5047689125FC}">
  <sheetPr codeName="Sheet3"/>
  <dimension ref="B1:AB478"/>
  <sheetViews>
    <sheetView zoomScaleNormal="100" workbookViewId="0">
      <pane xSplit="1" ySplit="6" topLeftCell="B7" activePane="bottomRight" state="frozen"/>
      <selection activeCell="B5" sqref="B5:B6"/>
      <selection pane="topRight" activeCell="B5" sqref="B5:B6"/>
      <selection pane="bottomLeft" activeCell="B5" sqref="B5:B6"/>
      <selection pane="bottomRight" activeCell="B1" sqref="B1:G1"/>
    </sheetView>
  </sheetViews>
  <sheetFormatPr defaultColWidth="9" defaultRowHeight="49.5" customHeight="1"/>
  <cols>
    <col min="1" max="1" width="2.375" style="1" customWidth="1"/>
    <col min="2" max="2" width="25.375" style="14" customWidth="1"/>
    <col min="3" max="3" width="6.625" style="14" customWidth="1"/>
    <col min="4" max="4" width="4.625" style="93" customWidth="1"/>
    <col min="5" max="7" width="4" style="15" customWidth="1"/>
    <col min="8" max="8" width="14.5" style="15" customWidth="1"/>
    <col min="9" max="9" width="11.5" style="4" customWidth="1"/>
    <col min="10" max="10" width="6.5" style="5" customWidth="1"/>
    <col min="11" max="11" width="6.875" style="5" customWidth="1"/>
    <col min="12" max="12" width="6.5" style="5" customWidth="1"/>
    <col min="13" max="13" width="7.125" style="5" customWidth="1"/>
    <col min="14" max="14" width="36.5" style="16" customWidth="1"/>
    <col min="15" max="15" width="30.5" style="16" customWidth="1"/>
    <col min="16" max="17" width="18.375" style="5" customWidth="1"/>
    <col min="18" max="20" width="8.5" style="1" hidden="1" customWidth="1"/>
    <col min="21" max="21" width="9" style="1"/>
    <col min="22" max="22" width="10.5" style="1" bestFit="1" customWidth="1"/>
    <col min="23" max="16384" width="9" style="1"/>
  </cols>
  <sheetData>
    <row r="1" spans="2:28" ht="27" customHeight="1">
      <c r="B1" s="248" t="s">
        <v>143</v>
      </c>
      <c r="C1" s="248"/>
      <c r="D1" s="248"/>
      <c r="E1" s="248"/>
      <c r="F1" s="248"/>
      <c r="G1" s="248"/>
      <c r="N1" s="238" t="s">
        <v>48</v>
      </c>
      <c r="O1" s="238"/>
      <c r="P1" s="238"/>
      <c r="Q1" s="1"/>
      <c r="W1" s="27"/>
      <c r="AB1" s="27"/>
    </row>
    <row r="2" spans="2:28" ht="30" customHeight="1">
      <c r="B2" s="2" t="s">
        <v>47</v>
      </c>
      <c r="C2" s="19"/>
      <c r="D2" s="90"/>
      <c r="E2" s="3"/>
      <c r="F2" s="3"/>
      <c r="G2" s="3"/>
      <c r="H2" s="3"/>
      <c r="N2" s="138" t="s">
        <v>49</v>
      </c>
      <c r="O2" s="239">
        <f>'（様式３）支出計画書'!D5</f>
        <v>0</v>
      </c>
      <c r="P2" s="239"/>
      <c r="Q2" s="1"/>
      <c r="W2" s="27"/>
      <c r="AB2" s="27"/>
    </row>
    <row r="3" spans="2:28" ht="18.75" customHeight="1">
      <c r="B3" s="87" t="s">
        <v>145</v>
      </c>
      <c r="C3" s="19"/>
      <c r="D3" s="90"/>
      <c r="E3" s="3"/>
      <c r="F3" s="3"/>
      <c r="G3" s="3"/>
      <c r="N3" s="20"/>
      <c r="O3" s="30"/>
      <c r="P3" s="30"/>
      <c r="Q3" s="30"/>
      <c r="W3" s="27"/>
      <c r="AB3" s="27"/>
    </row>
    <row r="4" spans="2:28" s="6" customFormat="1" ht="18.75" customHeight="1">
      <c r="B4" s="87" t="s">
        <v>50</v>
      </c>
      <c r="C4" s="128"/>
      <c r="D4" s="129"/>
      <c r="F4" s="21"/>
      <c r="G4" s="21"/>
      <c r="H4" s="1"/>
      <c r="I4" s="109"/>
      <c r="J4" s="109"/>
      <c r="K4" s="109"/>
      <c r="L4" s="109"/>
      <c r="M4" s="109"/>
      <c r="N4" s="127" t="s">
        <v>51</v>
      </c>
      <c r="O4" s="23"/>
      <c r="P4" s="24"/>
      <c r="Q4" s="235"/>
      <c r="R4" s="235"/>
      <c r="S4" s="235"/>
      <c r="T4" s="130"/>
      <c r="W4" s="131"/>
      <c r="AB4" s="27"/>
    </row>
    <row r="5" spans="2:28" s="6" customFormat="1" ht="24" customHeight="1">
      <c r="B5" s="236" t="s">
        <v>52</v>
      </c>
      <c r="C5" s="236" t="s">
        <v>53</v>
      </c>
      <c r="D5" s="236" t="s">
        <v>54</v>
      </c>
      <c r="E5" s="240" t="s">
        <v>55</v>
      </c>
      <c r="F5" s="240"/>
      <c r="G5" s="240"/>
      <c r="H5" s="246" t="s">
        <v>56</v>
      </c>
      <c r="I5" s="245" t="s">
        <v>57</v>
      </c>
      <c r="J5" s="244" t="s">
        <v>58</v>
      </c>
      <c r="K5" s="244" t="s">
        <v>59</v>
      </c>
      <c r="L5" s="244" t="s">
        <v>60</v>
      </c>
      <c r="M5" s="244" t="s">
        <v>59</v>
      </c>
      <c r="N5" s="242" t="s">
        <v>119</v>
      </c>
      <c r="O5" s="242" t="s">
        <v>111</v>
      </c>
      <c r="P5" s="241" t="s">
        <v>61</v>
      </c>
      <c r="Q5" s="234" t="s">
        <v>112</v>
      </c>
      <c r="R5" s="130"/>
      <c r="S5" s="130"/>
      <c r="T5" s="130"/>
      <c r="W5" s="27"/>
    </row>
    <row r="6" spans="2:28" s="6" customFormat="1" ht="33.75" customHeight="1" thickBot="1">
      <c r="B6" s="237"/>
      <c r="C6" s="237"/>
      <c r="D6" s="237"/>
      <c r="E6" s="86" t="s">
        <v>62</v>
      </c>
      <c r="F6" s="86" t="s">
        <v>63</v>
      </c>
      <c r="G6" s="86" t="s">
        <v>144</v>
      </c>
      <c r="H6" s="247"/>
      <c r="I6" s="245"/>
      <c r="J6" s="244"/>
      <c r="K6" s="244"/>
      <c r="L6" s="244"/>
      <c r="M6" s="244"/>
      <c r="N6" s="243"/>
      <c r="O6" s="243"/>
      <c r="P6" s="241"/>
      <c r="Q6" s="234"/>
      <c r="R6" s="130"/>
      <c r="S6" s="130"/>
      <c r="T6" s="130"/>
      <c r="U6" s="89" t="s">
        <v>64</v>
      </c>
      <c r="W6" s="27"/>
    </row>
    <row r="7" spans="2:28" s="7" customFormat="1" ht="49.5" customHeight="1" thickTop="1">
      <c r="B7" s="142" t="s">
        <v>131</v>
      </c>
      <c r="C7" s="84">
        <v>1</v>
      </c>
      <c r="D7" s="28" t="s">
        <v>76</v>
      </c>
      <c r="E7" s="79"/>
      <c r="F7" s="79"/>
      <c r="G7" s="79"/>
      <c r="H7" s="133">
        <f t="shared" ref="H7:H66" si="0">IF(L7&lt;=0,I7*J7,I7*J7*L7)</f>
        <v>0</v>
      </c>
      <c r="I7" s="110"/>
      <c r="J7" s="111"/>
      <c r="K7" s="112"/>
      <c r="L7" s="113"/>
      <c r="M7" s="114"/>
      <c r="N7" s="94"/>
      <c r="O7" s="94"/>
      <c r="P7" s="97"/>
      <c r="Q7" s="97"/>
      <c r="R7" s="8"/>
      <c r="S7" s="8"/>
      <c r="T7" s="9"/>
      <c r="V7" s="26"/>
    </row>
    <row r="8" spans="2:28" s="7" customFormat="1" ht="49.5" customHeight="1">
      <c r="B8" s="139" t="s">
        <v>131</v>
      </c>
      <c r="C8" s="85">
        <f>C7+1</f>
        <v>2</v>
      </c>
      <c r="D8" s="91" t="s">
        <v>76</v>
      </c>
      <c r="E8" s="80"/>
      <c r="F8" s="80"/>
      <c r="G8" s="80"/>
      <c r="H8" s="134">
        <f t="shared" si="0"/>
        <v>0</v>
      </c>
      <c r="I8" s="115"/>
      <c r="J8" s="116"/>
      <c r="K8" s="117"/>
      <c r="L8" s="116"/>
      <c r="M8" s="118"/>
      <c r="N8" s="96"/>
      <c r="O8" s="96"/>
      <c r="P8" s="97"/>
      <c r="Q8" s="97"/>
      <c r="R8" s="10"/>
      <c r="S8" s="10"/>
      <c r="T8" s="11"/>
      <c r="V8" s="26"/>
    </row>
    <row r="9" spans="2:28" s="7" customFormat="1" ht="49.5" customHeight="1">
      <c r="B9" s="139" t="s">
        <v>131</v>
      </c>
      <c r="C9" s="85">
        <f t="shared" ref="C9:C66" si="1">C8+1</f>
        <v>3</v>
      </c>
      <c r="D9" s="91" t="s">
        <v>76</v>
      </c>
      <c r="E9" s="80"/>
      <c r="F9" s="80"/>
      <c r="G9" s="80"/>
      <c r="H9" s="134">
        <f t="shared" si="0"/>
        <v>0</v>
      </c>
      <c r="I9" s="115"/>
      <c r="J9" s="116"/>
      <c r="K9" s="117"/>
      <c r="L9" s="116"/>
      <c r="M9" s="118"/>
      <c r="N9" s="96"/>
      <c r="O9" s="96"/>
      <c r="P9" s="97"/>
      <c r="Q9" s="97"/>
      <c r="R9" s="12"/>
      <c r="S9" s="12"/>
      <c r="T9" s="13"/>
      <c r="V9" s="26"/>
    </row>
    <row r="10" spans="2:28" s="7" customFormat="1" ht="49.5" customHeight="1">
      <c r="B10" s="139" t="s">
        <v>131</v>
      </c>
      <c r="C10" s="85">
        <f t="shared" si="1"/>
        <v>4</v>
      </c>
      <c r="D10" s="91" t="s">
        <v>76</v>
      </c>
      <c r="E10" s="80"/>
      <c r="F10" s="80"/>
      <c r="G10" s="80"/>
      <c r="H10" s="134">
        <f t="shared" si="0"/>
        <v>0</v>
      </c>
      <c r="I10" s="115"/>
      <c r="J10" s="116"/>
      <c r="K10" s="117"/>
      <c r="L10" s="116"/>
      <c r="M10" s="118"/>
      <c r="N10" s="96"/>
      <c r="O10" s="96"/>
      <c r="P10" s="97"/>
      <c r="Q10" s="97"/>
      <c r="R10" s="12"/>
      <c r="S10" s="12"/>
      <c r="T10" s="13"/>
      <c r="V10" s="26"/>
    </row>
    <row r="11" spans="2:28" s="7" customFormat="1" ht="49.5" customHeight="1">
      <c r="B11" s="139" t="s">
        <v>131</v>
      </c>
      <c r="C11" s="85">
        <f t="shared" si="1"/>
        <v>5</v>
      </c>
      <c r="D11" s="91" t="s">
        <v>76</v>
      </c>
      <c r="E11" s="80"/>
      <c r="F11" s="80"/>
      <c r="G11" s="80"/>
      <c r="H11" s="134">
        <f t="shared" si="0"/>
        <v>0</v>
      </c>
      <c r="I11" s="115"/>
      <c r="J11" s="116"/>
      <c r="K11" s="117"/>
      <c r="L11" s="116"/>
      <c r="M11" s="118"/>
      <c r="N11" s="96"/>
      <c r="O11" s="96"/>
      <c r="P11" s="97"/>
      <c r="Q11" s="97"/>
      <c r="R11" s="12"/>
      <c r="S11" s="12"/>
      <c r="T11" s="13"/>
      <c r="V11" s="26"/>
    </row>
    <row r="12" spans="2:28" s="7" customFormat="1" ht="49.5" customHeight="1">
      <c r="B12" s="139" t="s">
        <v>131</v>
      </c>
      <c r="C12" s="85">
        <f t="shared" si="1"/>
        <v>6</v>
      </c>
      <c r="D12" s="91" t="s">
        <v>76</v>
      </c>
      <c r="E12" s="80"/>
      <c r="F12" s="80"/>
      <c r="G12" s="80"/>
      <c r="H12" s="134">
        <f t="shared" si="0"/>
        <v>0</v>
      </c>
      <c r="I12" s="115"/>
      <c r="J12" s="116"/>
      <c r="K12" s="117"/>
      <c r="L12" s="116"/>
      <c r="M12" s="118"/>
      <c r="N12" s="96"/>
      <c r="O12" s="96"/>
      <c r="P12" s="97"/>
      <c r="Q12" s="97"/>
      <c r="R12" s="12"/>
      <c r="S12" s="12"/>
      <c r="T12" s="13"/>
      <c r="V12" s="26"/>
    </row>
    <row r="13" spans="2:28" s="7" customFormat="1" ht="49.5" customHeight="1">
      <c r="B13" s="139" t="s">
        <v>131</v>
      </c>
      <c r="C13" s="85">
        <f t="shared" si="1"/>
        <v>7</v>
      </c>
      <c r="D13" s="91" t="s">
        <v>76</v>
      </c>
      <c r="E13" s="80"/>
      <c r="F13" s="80"/>
      <c r="G13" s="80"/>
      <c r="H13" s="134">
        <f t="shared" si="0"/>
        <v>0</v>
      </c>
      <c r="I13" s="115"/>
      <c r="J13" s="116"/>
      <c r="K13" s="117"/>
      <c r="L13" s="116"/>
      <c r="M13" s="118"/>
      <c r="N13" s="96"/>
      <c r="O13" s="96"/>
      <c r="P13" s="97"/>
      <c r="Q13" s="97"/>
      <c r="R13" s="12"/>
      <c r="S13" s="12"/>
      <c r="T13" s="13"/>
      <c r="V13" s="26"/>
    </row>
    <row r="14" spans="2:28" s="7" customFormat="1" ht="49.5" customHeight="1">
      <c r="B14" s="139" t="s">
        <v>131</v>
      </c>
      <c r="C14" s="85">
        <f t="shared" si="1"/>
        <v>8</v>
      </c>
      <c r="D14" s="91" t="s">
        <v>76</v>
      </c>
      <c r="E14" s="80"/>
      <c r="F14" s="80"/>
      <c r="G14" s="80"/>
      <c r="H14" s="134">
        <f t="shared" si="0"/>
        <v>0</v>
      </c>
      <c r="I14" s="115"/>
      <c r="J14" s="116"/>
      <c r="K14" s="117"/>
      <c r="L14" s="116"/>
      <c r="M14" s="118"/>
      <c r="N14" s="96"/>
      <c r="O14" s="96"/>
      <c r="P14" s="97"/>
      <c r="Q14" s="97"/>
      <c r="R14" s="12"/>
      <c r="S14" s="12"/>
      <c r="T14" s="13"/>
      <c r="V14" s="26"/>
    </row>
    <row r="15" spans="2:28" s="7" customFormat="1" ht="49.5" customHeight="1">
      <c r="B15" s="139" t="s">
        <v>131</v>
      </c>
      <c r="C15" s="85">
        <f t="shared" si="1"/>
        <v>9</v>
      </c>
      <c r="D15" s="91" t="s">
        <v>76</v>
      </c>
      <c r="E15" s="80"/>
      <c r="F15" s="80"/>
      <c r="G15" s="80"/>
      <c r="H15" s="134">
        <f t="shared" si="0"/>
        <v>0</v>
      </c>
      <c r="I15" s="115"/>
      <c r="J15" s="116"/>
      <c r="K15" s="117"/>
      <c r="L15" s="116"/>
      <c r="M15" s="118"/>
      <c r="N15" s="96"/>
      <c r="O15" s="96"/>
      <c r="P15" s="97"/>
      <c r="Q15" s="97"/>
      <c r="R15" s="10"/>
      <c r="S15" s="10"/>
      <c r="T15" s="11"/>
      <c r="V15" s="26"/>
    </row>
    <row r="16" spans="2:28" s="7" customFormat="1" ht="49.5" customHeight="1">
      <c r="B16" s="139" t="s">
        <v>131</v>
      </c>
      <c r="C16" s="85">
        <f t="shared" si="1"/>
        <v>10</v>
      </c>
      <c r="D16" s="91" t="s">
        <v>76</v>
      </c>
      <c r="E16" s="80"/>
      <c r="F16" s="80"/>
      <c r="G16" s="80"/>
      <c r="H16" s="134">
        <f t="shared" ref="H16:H60" si="2">IF(L16&lt;=0,I16*J16,I16*J16*L16)</f>
        <v>0</v>
      </c>
      <c r="I16" s="115"/>
      <c r="J16" s="116"/>
      <c r="K16" s="117"/>
      <c r="L16" s="116"/>
      <c r="M16" s="118"/>
      <c r="N16" s="96"/>
      <c r="O16" s="96"/>
      <c r="P16" s="97"/>
      <c r="Q16" s="97"/>
      <c r="R16" s="12"/>
      <c r="S16" s="12"/>
      <c r="T16" s="13"/>
      <c r="V16" s="26"/>
    </row>
    <row r="17" spans="2:22" s="7" customFormat="1" ht="49.5" customHeight="1">
      <c r="B17" s="139" t="s">
        <v>131</v>
      </c>
      <c r="C17" s="85">
        <f t="shared" si="1"/>
        <v>11</v>
      </c>
      <c r="D17" s="91" t="s">
        <v>76</v>
      </c>
      <c r="E17" s="80"/>
      <c r="F17" s="80"/>
      <c r="G17" s="80"/>
      <c r="H17" s="134">
        <f t="shared" si="2"/>
        <v>0</v>
      </c>
      <c r="I17" s="115"/>
      <c r="J17" s="116"/>
      <c r="K17" s="117"/>
      <c r="L17" s="116"/>
      <c r="M17" s="118"/>
      <c r="N17" s="96"/>
      <c r="O17" s="96"/>
      <c r="P17" s="97"/>
      <c r="Q17" s="97"/>
      <c r="R17" s="12"/>
      <c r="S17" s="12"/>
      <c r="T17" s="13"/>
      <c r="V17" s="26"/>
    </row>
    <row r="18" spans="2:22" s="7" customFormat="1" ht="49.5" customHeight="1">
      <c r="B18" s="139" t="s">
        <v>131</v>
      </c>
      <c r="C18" s="85">
        <f t="shared" si="1"/>
        <v>12</v>
      </c>
      <c r="D18" s="91" t="s">
        <v>76</v>
      </c>
      <c r="E18" s="80"/>
      <c r="F18" s="80"/>
      <c r="G18" s="80"/>
      <c r="H18" s="134">
        <f t="shared" si="2"/>
        <v>0</v>
      </c>
      <c r="I18" s="115"/>
      <c r="J18" s="116"/>
      <c r="K18" s="117"/>
      <c r="L18" s="116"/>
      <c r="M18" s="118"/>
      <c r="N18" s="96"/>
      <c r="O18" s="96"/>
      <c r="P18" s="97"/>
      <c r="Q18" s="97"/>
      <c r="R18" s="10"/>
      <c r="S18" s="10"/>
      <c r="T18" s="11"/>
      <c r="V18" s="26"/>
    </row>
    <row r="19" spans="2:22" s="7" customFormat="1" ht="49.5" customHeight="1">
      <c r="B19" s="139" t="s">
        <v>131</v>
      </c>
      <c r="C19" s="85">
        <f t="shared" si="1"/>
        <v>13</v>
      </c>
      <c r="D19" s="91" t="s">
        <v>76</v>
      </c>
      <c r="E19" s="80"/>
      <c r="F19" s="80"/>
      <c r="G19" s="80"/>
      <c r="H19" s="134">
        <f t="shared" si="2"/>
        <v>0</v>
      </c>
      <c r="I19" s="115"/>
      <c r="J19" s="116"/>
      <c r="K19" s="117"/>
      <c r="L19" s="116"/>
      <c r="M19" s="118"/>
      <c r="N19" s="96"/>
      <c r="O19" s="96"/>
      <c r="P19" s="97"/>
      <c r="Q19" s="97"/>
      <c r="R19" s="12"/>
      <c r="S19" s="12"/>
      <c r="T19" s="13"/>
      <c r="V19" s="26"/>
    </row>
    <row r="20" spans="2:22" s="7" customFormat="1" ht="49.5" customHeight="1">
      <c r="B20" s="139" t="s">
        <v>131</v>
      </c>
      <c r="C20" s="85">
        <f t="shared" si="1"/>
        <v>14</v>
      </c>
      <c r="D20" s="91" t="s">
        <v>76</v>
      </c>
      <c r="E20" s="80"/>
      <c r="F20" s="80"/>
      <c r="G20" s="80"/>
      <c r="H20" s="134">
        <f t="shared" si="2"/>
        <v>0</v>
      </c>
      <c r="I20" s="115"/>
      <c r="J20" s="116"/>
      <c r="K20" s="117"/>
      <c r="L20" s="116"/>
      <c r="M20" s="118"/>
      <c r="N20" s="96"/>
      <c r="O20" s="96"/>
      <c r="P20" s="97"/>
      <c r="Q20" s="97"/>
      <c r="R20" s="12"/>
      <c r="S20" s="12"/>
      <c r="T20" s="13"/>
      <c r="V20" s="26"/>
    </row>
    <row r="21" spans="2:22" s="7" customFormat="1" ht="49.5" customHeight="1">
      <c r="B21" s="139" t="s">
        <v>131</v>
      </c>
      <c r="C21" s="85">
        <f t="shared" si="1"/>
        <v>15</v>
      </c>
      <c r="D21" s="91" t="s">
        <v>76</v>
      </c>
      <c r="E21" s="80"/>
      <c r="F21" s="80"/>
      <c r="G21" s="80"/>
      <c r="H21" s="134">
        <f t="shared" si="2"/>
        <v>0</v>
      </c>
      <c r="I21" s="115"/>
      <c r="J21" s="116"/>
      <c r="K21" s="117"/>
      <c r="L21" s="116"/>
      <c r="M21" s="118"/>
      <c r="N21" s="96"/>
      <c r="O21" s="96"/>
      <c r="P21" s="97"/>
      <c r="Q21" s="97"/>
      <c r="R21" s="12"/>
      <c r="S21" s="12"/>
      <c r="T21" s="13"/>
      <c r="V21" s="26"/>
    </row>
    <row r="22" spans="2:22" s="7" customFormat="1" ht="49.5" customHeight="1">
      <c r="B22" s="139" t="s">
        <v>131</v>
      </c>
      <c r="C22" s="85">
        <f t="shared" si="1"/>
        <v>16</v>
      </c>
      <c r="D22" s="91" t="s">
        <v>76</v>
      </c>
      <c r="E22" s="80"/>
      <c r="F22" s="80"/>
      <c r="G22" s="80"/>
      <c r="H22" s="134">
        <f t="shared" si="2"/>
        <v>0</v>
      </c>
      <c r="I22" s="115"/>
      <c r="J22" s="116"/>
      <c r="K22" s="117"/>
      <c r="L22" s="116"/>
      <c r="M22" s="118"/>
      <c r="N22" s="96"/>
      <c r="O22" s="96"/>
      <c r="P22" s="97"/>
      <c r="Q22" s="97"/>
      <c r="R22" s="12"/>
      <c r="S22" s="12"/>
      <c r="T22" s="13"/>
      <c r="V22" s="26"/>
    </row>
    <row r="23" spans="2:22" s="7" customFormat="1" ht="49.5" customHeight="1">
      <c r="B23" s="139" t="s">
        <v>131</v>
      </c>
      <c r="C23" s="85">
        <f t="shared" si="1"/>
        <v>17</v>
      </c>
      <c r="D23" s="91" t="s">
        <v>76</v>
      </c>
      <c r="E23" s="80"/>
      <c r="F23" s="80"/>
      <c r="G23" s="80"/>
      <c r="H23" s="134">
        <f t="shared" si="2"/>
        <v>0</v>
      </c>
      <c r="I23" s="115"/>
      <c r="J23" s="116"/>
      <c r="K23" s="117"/>
      <c r="L23" s="116"/>
      <c r="M23" s="118"/>
      <c r="N23" s="96"/>
      <c r="O23" s="96"/>
      <c r="P23" s="97"/>
      <c r="Q23" s="97"/>
      <c r="R23" s="12"/>
      <c r="S23" s="12"/>
      <c r="T23" s="13"/>
      <c r="V23" s="26"/>
    </row>
    <row r="24" spans="2:22" s="7" customFormat="1" ht="49.5" customHeight="1">
      <c r="B24" s="139" t="s">
        <v>131</v>
      </c>
      <c r="C24" s="85">
        <f t="shared" si="1"/>
        <v>18</v>
      </c>
      <c r="D24" s="91" t="s">
        <v>76</v>
      </c>
      <c r="E24" s="80"/>
      <c r="F24" s="80"/>
      <c r="G24" s="80"/>
      <c r="H24" s="134">
        <f t="shared" si="2"/>
        <v>0</v>
      </c>
      <c r="I24" s="115"/>
      <c r="J24" s="116"/>
      <c r="K24" s="117"/>
      <c r="L24" s="116"/>
      <c r="M24" s="118"/>
      <c r="N24" s="96"/>
      <c r="O24" s="96"/>
      <c r="P24" s="97"/>
      <c r="Q24" s="97"/>
      <c r="R24" s="12"/>
      <c r="S24" s="12"/>
      <c r="T24" s="13"/>
      <c r="V24" s="26"/>
    </row>
    <row r="25" spans="2:22" s="7" customFormat="1" ht="49.5" customHeight="1">
      <c r="B25" s="139" t="s">
        <v>131</v>
      </c>
      <c r="C25" s="85">
        <f t="shared" si="1"/>
        <v>19</v>
      </c>
      <c r="D25" s="91" t="s">
        <v>76</v>
      </c>
      <c r="E25" s="80"/>
      <c r="F25" s="80"/>
      <c r="G25" s="80"/>
      <c r="H25" s="134">
        <f t="shared" si="2"/>
        <v>0</v>
      </c>
      <c r="I25" s="115"/>
      <c r="J25" s="116"/>
      <c r="K25" s="117"/>
      <c r="L25" s="116"/>
      <c r="M25" s="118"/>
      <c r="N25" s="96"/>
      <c r="O25" s="96"/>
      <c r="P25" s="97"/>
      <c r="Q25" s="97"/>
      <c r="R25" s="10"/>
      <c r="S25" s="10"/>
      <c r="T25" s="11"/>
      <c r="V25" s="26"/>
    </row>
    <row r="26" spans="2:22" s="7" customFormat="1" ht="49.5" customHeight="1">
      <c r="B26" s="139" t="s">
        <v>131</v>
      </c>
      <c r="C26" s="85">
        <f t="shared" si="1"/>
        <v>20</v>
      </c>
      <c r="D26" s="91" t="s">
        <v>76</v>
      </c>
      <c r="E26" s="80"/>
      <c r="F26" s="80"/>
      <c r="G26" s="80"/>
      <c r="H26" s="134">
        <f>IF(L26&lt;=0,I26*J26,I26*J26*L26)</f>
        <v>0</v>
      </c>
      <c r="I26" s="115"/>
      <c r="J26" s="116"/>
      <c r="K26" s="117"/>
      <c r="L26" s="116"/>
      <c r="M26" s="118"/>
      <c r="N26" s="96"/>
      <c r="O26" s="96"/>
      <c r="P26" s="97"/>
      <c r="Q26" s="97"/>
      <c r="R26" s="12"/>
      <c r="S26" s="12"/>
      <c r="T26" s="13"/>
      <c r="V26" s="26"/>
    </row>
    <row r="27" spans="2:22" s="7" customFormat="1" ht="49.5" customHeight="1">
      <c r="B27" s="139" t="s">
        <v>131</v>
      </c>
      <c r="C27" s="85">
        <f t="shared" si="1"/>
        <v>21</v>
      </c>
      <c r="D27" s="91" t="s">
        <v>76</v>
      </c>
      <c r="E27" s="80"/>
      <c r="F27" s="80"/>
      <c r="G27" s="80"/>
      <c r="H27" s="134">
        <f t="shared" ref="H27:H57" si="3">IF(L27&lt;=0,I27*J27,I27*J27*L27)</f>
        <v>0</v>
      </c>
      <c r="I27" s="115"/>
      <c r="J27" s="116"/>
      <c r="K27" s="117"/>
      <c r="L27" s="116"/>
      <c r="M27" s="118"/>
      <c r="N27" s="96"/>
      <c r="O27" s="96"/>
      <c r="P27" s="97"/>
      <c r="Q27" s="97"/>
      <c r="R27" s="12"/>
      <c r="S27" s="12"/>
      <c r="T27" s="13"/>
      <c r="V27" s="26"/>
    </row>
    <row r="28" spans="2:22" s="7" customFormat="1" ht="49.5" customHeight="1">
      <c r="B28" s="139" t="s">
        <v>131</v>
      </c>
      <c r="C28" s="85">
        <f t="shared" si="1"/>
        <v>22</v>
      </c>
      <c r="D28" s="91" t="s">
        <v>76</v>
      </c>
      <c r="E28" s="80"/>
      <c r="F28" s="80"/>
      <c r="G28" s="80"/>
      <c r="H28" s="134">
        <f t="shared" si="3"/>
        <v>0</v>
      </c>
      <c r="I28" s="115"/>
      <c r="J28" s="116"/>
      <c r="K28" s="117"/>
      <c r="L28" s="116"/>
      <c r="M28" s="118"/>
      <c r="N28" s="96"/>
      <c r="O28" s="96"/>
      <c r="P28" s="97"/>
      <c r="Q28" s="97"/>
      <c r="R28" s="12"/>
      <c r="S28" s="12"/>
      <c r="T28" s="13"/>
      <c r="V28" s="26"/>
    </row>
    <row r="29" spans="2:22" s="7" customFormat="1" ht="49.5" customHeight="1">
      <c r="B29" s="139" t="s">
        <v>131</v>
      </c>
      <c r="C29" s="85">
        <f t="shared" si="1"/>
        <v>23</v>
      </c>
      <c r="D29" s="91" t="s">
        <v>76</v>
      </c>
      <c r="E29" s="80"/>
      <c r="F29" s="80"/>
      <c r="G29" s="80"/>
      <c r="H29" s="134">
        <f t="shared" si="3"/>
        <v>0</v>
      </c>
      <c r="I29" s="115"/>
      <c r="J29" s="116"/>
      <c r="K29" s="117"/>
      <c r="L29" s="116"/>
      <c r="M29" s="118"/>
      <c r="N29" s="96"/>
      <c r="O29" s="96"/>
      <c r="P29" s="97"/>
      <c r="Q29" s="97"/>
      <c r="R29" s="12"/>
      <c r="S29" s="12"/>
      <c r="T29" s="13"/>
      <c r="V29" s="26"/>
    </row>
    <row r="30" spans="2:22" s="7" customFormat="1" ht="49.5" customHeight="1">
      <c r="B30" s="139" t="s">
        <v>131</v>
      </c>
      <c r="C30" s="85">
        <f t="shared" si="1"/>
        <v>24</v>
      </c>
      <c r="D30" s="91" t="s">
        <v>76</v>
      </c>
      <c r="E30" s="80"/>
      <c r="F30" s="80"/>
      <c r="G30" s="80"/>
      <c r="H30" s="134">
        <f t="shared" si="3"/>
        <v>0</v>
      </c>
      <c r="I30" s="115"/>
      <c r="J30" s="116"/>
      <c r="K30" s="117"/>
      <c r="L30" s="116"/>
      <c r="M30" s="118"/>
      <c r="N30" s="96"/>
      <c r="O30" s="96"/>
      <c r="P30" s="97"/>
      <c r="Q30" s="97"/>
      <c r="R30" s="12"/>
      <c r="S30" s="12"/>
      <c r="T30" s="13"/>
      <c r="V30" s="26"/>
    </row>
    <row r="31" spans="2:22" s="7" customFormat="1" ht="49.5" customHeight="1">
      <c r="B31" s="139" t="s">
        <v>131</v>
      </c>
      <c r="C31" s="85">
        <f t="shared" si="1"/>
        <v>25</v>
      </c>
      <c r="D31" s="91" t="s">
        <v>76</v>
      </c>
      <c r="E31" s="80"/>
      <c r="F31" s="80"/>
      <c r="G31" s="80"/>
      <c r="H31" s="134">
        <f t="shared" si="3"/>
        <v>0</v>
      </c>
      <c r="I31" s="115"/>
      <c r="J31" s="116"/>
      <c r="K31" s="117"/>
      <c r="L31" s="116"/>
      <c r="M31" s="118"/>
      <c r="N31" s="96"/>
      <c r="O31" s="96"/>
      <c r="P31" s="97"/>
      <c r="Q31" s="97"/>
      <c r="R31" s="12"/>
      <c r="S31" s="12"/>
      <c r="T31" s="13"/>
      <c r="V31" s="26"/>
    </row>
    <row r="32" spans="2:22" s="7" customFormat="1" ht="49.5" customHeight="1">
      <c r="B32" s="139" t="s">
        <v>131</v>
      </c>
      <c r="C32" s="85">
        <f t="shared" si="1"/>
        <v>26</v>
      </c>
      <c r="D32" s="91" t="s">
        <v>76</v>
      </c>
      <c r="E32" s="80"/>
      <c r="F32" s="80"/>
      <c r="G32" s="80"/>
      <c r="H32" s="134">
        <f t="shared" si="3"/>
        <v>0</v>
      </c>
      <c r="I32" s="115"/>
      <c r="J32" s="116"/>
      <c r="K32" s="117"/>
      <c r="L32" s="116"/>
      <c r="M32" s="118"/>
      <c r="N32" s="96"/>
      <c r="O32" s="96"/>
      <c r="P32" s="97"/>
      <c r="Q32" s="97"/>
      <c r="R32" s="12"/>
      <c r="S32" s="12"/>
      <c r="T32" s="13"/>
      <c r="V32" s="26"/>
    </row>
    <row r="33" spans="2:22" s="7" customFormat="1" ht="49.5" customHeight="1">
      <c r="B33" s="139" t="s">
        <v>131</v>
      </c>
      <c r="C33" s="85">
        <f t="shared" si="1"/>
        <v>27</v>
      </c>
      <c r="D33" s="91" t="s">
        <v>76</v>
      </c>
      <c r="E33" s="80"/>
      <c r="F33" s="80"/>
      <c r="G33" s="80"/>
      <c r="H33" s="134">
        <f t="shared" si="3"/>
        <v>0</v>
      </c>
      <c r="I33" s="115"/>
      <c r="J33" s="116"/>
      <c r="K33" s="117"/>
      <c r="L33" s="116"/>
      <c r="M33" s="118"/>
      <c r="N33" s="96"/>
      <c r="O33" s="96"/>
      <c r="P33" s="97"/>
      <c r="Q33" s="97"/>
      <c r="R33" s="12"/>
      <c r="S33" s="12"/>
      <c r="T33" s="13"/>
      <c r="V33" s="26"/>
    </row>
    <row r="34" spans="2:22" s="7" customFormat="1" ht="49.5" customHeight="1">
      <c r="B34" s="139" t="s">
        <v>131</v>
      </c>
      <c r="C34" s="85">
        <f t="shared" si="1"/>
        <v>28</v>
      </c>
      <c r="D34" s="91" t="s">
        <v>76</v>
      </c>
      <c r="E34" s="80"/>
      <c r="F34" s="80"/>
      <c r="G34" s="80"/>
      <c r="H34" s="134">
        <f t="shared" si="3"/>
        <v>0</v>
      </c>
      <c r="I34" s="115"/>
      <c r="J34" s="116"/>
      <c r="K34" s="117"/>
      <c r="L34" s="116"/>
      <c r="M34" s="118"/>
      <c r="N34" s="96"/>
      <c r="O34" s="96"/>
      <c r="P34" s="97"/>
      <c r="Q34" s="97"/>
      <c r="R34" s="12"/>
      <c r="S34" s="12"/>
      <c r="T34" s="13"/>
      <c r="V34" s="26"/>
    </row>
    <row r="35" spans="2:22" s="7" customFormat="1" ht="49.5" customHeight="1">
      <c r="B35" s="139" t="s">
        <v>131</v>
      </c>
      <c r="C35" s="85">
        <f t="shared" si="1"/>
        <v>29</v>
      </c>
      <c r="D35" s="91" t="s">
        <v>76</v>
      </c>
      <c r="E35" s="80"/>
      <c r="F35" s="80"/>
      <c r="G35" s="80"/>
      <c r="H35" s="134">
        <f t="shared" si="3"/>
        <v>0</v>
      </c>
      <c r="I35" s="115"/>
      <c r="J35" s="116"/>
      <c r="K35" s="117"/>
      <c r="L35" s="116"/>
      <c r="M35" s="118"/>
      <c r="N35" s="96"/>
      <c r="O35" s="96"/>
      <c r="P35" s="97"/>
      <c r="Q35" s="97"/>
      <c r="R35" s="12"/>
      <c r="S35" s="12"/>
      <c r="T35" s="13"/>
      <c r="V35" s="26"/>
    </row>
    <row r="36" spans="2:22" s="7" customFormat="1" ht="49.5" customHeight="1" thickBot="1">
      <c r="B36" s="139" t="s">
        <v>131</v>
      </c>
      <c r="C36" s="85">
        <f t="shared" si="1"/>
        <v>30</v>
      </c>
      <c r="D36" s="91" t="s">
        <v>76</v>
      </c>
      <c r="E36" s="80"/>
      <c r="F36" s="80"/>
      <c r="G36" s="80"/>
      <c r="H36" s="134">
        <f t="shared" si="3"/>
        <v>0</v>
      </c>
      <c r="I36" s="115"/>
      <c r="J36" s="116"/>
      <c r="K36" s="117"/>
      <c r="L36" s="116"/>
      <c r="M36" s="118"/>
      <c r="N36" s="96"/>
      <c r="O36" s="96"/>
      <c r="P36" s="97"/>
      <c r="Q36" s="97"/>
      <c r="R36" s="12"/>
      <c r="S36" s="12"/>
      <c r="T36" s="13"/>
      <c r="U36" s="88" t="s">
        <v>67</v>
      </c>
      <c r="V36" s="26"/>
    </row>
    <row r="37" spans="2:22" s="7" customFormat="1" ht="49.5" hidden="1" customHeight="1">
      <c r="B37" s="139" t="s">
        <v>131</v>
      </c>
      <c r="C37" s="85">
        <f t="shared" si="1"/>
        <v>31</v>
      </c>
      <c r="D37" s="91" t="s">
        <v>76</v>
      </c>
      <c r="E37" s="80"/>
      <c r="F37" s="80"/>
      <c r="G37" s="80"/>
      <c r="H37" s="134">
        <f t="shared" si="3"/>
        <v>0</v>
      </c>
      <c r="I37" s="115"/>
      <c r="J37" s="116"/>
      <c r="K37" s="117"/>
      <c r="L37" s="116"/>
      <c r="M37" s="118"/>
      <c r="N37" s="96"/>
      <c r="O37" s="96"/>
      <c r="P37" s="97"/>
      <c r="Q37" s="97"/>
      <c r="R37" s="12"/>
      <c r="S37" s="12"/>
      <c r="T37" s="13"/>
      <c r="V37" s="26"/>
    </row>
    <row r="38" spans="2:22" s="7" customFormat="1" ht="49.5" hidden="1" customHeight="1">
      <c r="B38" s="139" t="s">
        <v>131</v>
      </c>
      <c r="C38" s="85">
        <f t="shared" si="1"/>
        <v>32</v>
      </c>
      <c r="D38" s="91" t="s">
        <v>76</v>
      </c>
      <c r="E38" s="80"/>
      <c r="F38" s="80"/>
      <c r="G38" s="80"/>
      <c r="H38" s="134">
        <f t="shared" si="3"/>
        <v>0</v>
      </c>
      <c r="I38" s="115"/>
      <c r="J38" s="116"/>
      <c r="K38" s="117"/>
      <c r="L38" s="116"/>
      <c r="M38" s="118"/>
      <c r="N38" s="96"/>
      <c r="O38" s="96"/>
      <c r="P38" s="97"/>
      <c r="Q38" s="97"/>
      <c r="R38" s="12"/>
      <c r="S38" s="12"/>
      <c r="T38" s="13"/>
      <c r="V38" s="26"/>
    </row>
    <row r="39" spans="2:22" s="7" customFormat="1" ht="49.5" hidden="1" customHeight="1">
      <c r="B39" s="139" t="s">
        <v>131</v>
      </c>
      <c r="C39" s="85">
        <f t="shared" si="1"/>
        <v>33</v>
      </c>
      <c r="D39" s="91" t="s">
        <v>76</v>
      </c>
      <c r="E39" s="80"/>
      <c r="F39" s="80"/>
      <c r="G39" s="80"/>
      <c r="H39" s="134">
        <f t="shared" si="3"/>
        <v>0</v>
      </c>
      <c r="I39" s="115"/>
      <c r="J39" s="116"/>
      <c r="K39" s="117"/>
      <c r="L39" s="116"/>
      <c r="M39" s="118"/>
      <c r="N39" s="96"/>
      <c r="O39" s="96"/>
      <c r="P39" s="97"/>
      <c r="Q39" s="97"/>
      <c r="R39" s="12"/>
      <c r="S39" s="12"/>
      <c r="T39" s="13"/>
      <c r="V39" s="26"/>
    </row>
    <row r="40" spans="2:22" s="7" customFormat="1" ht="49.5" hidden="1" customHeight="1">
      <c r="B40" s="139" t="s">
        <v>131</v>
      </c>
      <c r="C40" s="85">
        <f t="shared" si="1"/>
        <v>34</v>
      </c>
      <c r="D40" s="91" t="s">
        <v>76</v>
      </c>
      <c r="E40" s="80"/>
      <c r="F40" s="80"/>
      <c r="G40" s="80"/>
      <c r="H40" s="134">
        <f t="shared" si="3"/>
        <v>0</v>
      </c>
      <c r="I40" s="115"/>
      <c r="J40" s="116"/>
      <c r="K40" s="117"/>
      <c r="L40" s="116"/>
      <c r="M40" s="118"/>
      <c r="N40" s="96"/>
      <c r="O40" s="96"/>
      <c r="P40" s="97"/>
      <c r="Q40" s="97"/>
      <c r="R40" s="12"/>
      <c r="S40" s="12"/>
      <c r="T40" s="13"/>
      <c r="V40" s="26"/>
    </row>
    <row r="41" spans="2:22" s="7" customFormat="1" ht="49.5" hidden="1" customHeight="1">
      <c r="B41" s="139" t="s">
        <v>131</v>
      </c>
      <c r="C41" s="85">
        <f t="shared" si="1"/>
        <v>35</v>
      </c>
      <c r="D41" s="91" t="s">
        <v>76</v>
      </c>
      <c r="E41" s="80"/>
      <c r="F41" s="80"/>
      <c r="G41" s="80"/>
      <c r="H41" s="134">
        <f t="shared" si="3"/>
        <v>0</v>
      </c>
      <c r="I41" s="115"/>
      <c r="J41" s="116"/>
      <c r="K41" s="117"/>
      <c r="L41" s="116"/>
      <c r="M41" s="118"/>
      <c r="N41" s="96"/>
      <c r="O41" s="96"/>
      <c r="P41" s="97"/>
      <c r="Q41" s="97"/>
      <c r="R41" s="12"/>
      <c r="S41" s="12"/>
      <c r="T41" s="13"/>
      <c r="V41" s="26"/>
    </row>
    <row r="42" spans="2:22" s="7" customFormat="1" ht="49.5" hidden="1" customHeight="1">
      <c r="B42" s="139" t="s">
        <v>131</v>
      </c>
      <c r="C42" s="85">
        <f t="shared" si="1"/>
        <v>36</v>
      </c>
      <c r="D42" s="91" t="s">
        <v>76</v>
      </c>
      <c r="E42" s="80"/>
      <c r="F42" s="80"/>
      <c r="G42" s="80"/>
      <c r="H42" s="134">
        <f t="shared" si="3"/>
        <v>0</v>
      </c>
      <c r="I42" s="115"/>
      <c r="J42" s="116"/>
      <c r="K42" s="117"/>
      <c r="L42" s="116"/>
      <c r="M42" s="118"/>
      <c r="N42" s="96"/>
      <c r="O42" s="96"/>
      <c r="P42" s="97"/>
      <c r="Q42" s="97"/>
      <c r="R42" s="12"/>
      <c r="S42" s="12"/>
      <c r="T42" s="13"/>
      <c r="V42" s="26"/>
    </row>
    <row r="43" spans="2:22" s="7" customFormat="1" ht="49.5" hidden="1" customHeight="1">
      <c r="B43" s="139" t="s">
        <v>131</v>
      </c>
      <c r="C43" s="85">
        <f t="shared" si="1"/>
        <v>37</v>
      </c>
      <c r="D43" s="91" t="s">
        <v>76</v>
      </c>
      <c r="E43" s="80"/>
      <c r="F43" s="80"/>
      <c r="G43" s="80"/>
      <c r="H43" s="134">
        <f t="shared" si="3"/>
        <v>0</v>
      </c>
      <c r="I43" s="115"/>
      <c r="J43" s="116"/>
      <c r="K43" s="117"/>
      <c r="L43" s="116"/>
      <c r="M43" s="118"/>
      <c r="N43" s="96"/>
      <c r="O43" s="96"/>
      <c r="P43" s="97"/>
      <c r="Q43" s="97"/>
      <c r="R43" s="12"/>
      <c r="S43" s="12"/>
      <c r="T43" s="13"/>
      <c r="V43" s="26"/>
    </row>
    <row r="44" spans="2:22" s="7" customFormat="1" ht="49.5" hidden="1" customHeight="1">
      <c r="B44" s="139" t="s">
        <v>131</v>
      </c>
      <c r="C44" s="85">
        <f t="shared" si="1"/>
        <v>38</v>
      </c>
      <c r="D44" s="91" t="s">
        <v>76</v>
      </c>
      <c r="E44" s="80"/>
      <c r="F44" s="80"/>
      <c r="G44" s="80"/>
      <c r="H44" s="134">
        <f t="shared" si="3"/>
        <v>0</v>
      </c>
      <c r="I44" s="115"/>
      <c r="J44" s="116"/>
      <c r="K44" s="117"/>
      <c r="L44" s="116"/>
      <c r="M44" s="118"/>
      <c r="N44" s="96"/>
      <c r="O44" s="96"/>
      <c r="P44" s="97"/>
      <c r="Q44" s="97"/>
      <c r="R44" s="12"/>
      <c r="S44" s="12"/>
      <c r="T44" s="13"/>
      <c r="V44" s="26"/>
    </row>
    <row r="45" spans="2:22" s="7" customFormat="1" ht="49.5" hidden="1" customHeight="1">
      <c r="B45" s="139" t="s">
        <v>131</v>
      </c>
      <c r="C45" s="85">
        <f t="shared" si="1"/>
        <v>39</v>
      </c>
      <c r="D45" s="91" t="s">
        <v>76</v>
      </c>
      <c r="E45" s="80"/>
      <c r="F45" s="80"/>
      <c r="G45" s="80"/>
      <c r="H45" s="134">
        <f t="shared" si="3"/>
        <v>0</v>
      </c>
      <c r="I45" s="115"/>
      <c r="J45" s="116"/>
      <c r="K45" s="117"/>
      <c r="L45" s="116"/>
      <c r="M45" s="118"/>
      <c r="N45" s="96"/>
      <c r="O45" s="96"/>
      <c r="P45" s="97"/>
      <c r="Q45" s="97"/>
      <c r="R45" s="12"/>
      <c r="S45" s="12"/>
      <c r="T45" s="13"/>
      <c r="V45" s="26"/>
    </row>
    <row r="46" spans="2:22" s="7" customFormat="1" ht="49.5" hidden="1" customHeight="1">
      <c r="B46" s="139" t="s">
        <v>131</v>
      </c>
      <c r="C46" s="85">
        <f t="shared" si="1"/>
        <v>40</v>
      </c>
      <c r="D46" s="91" t="s">
        <v>76</v>
      </c>
      <c r="E46" s="80"/>
      <c r="F46" s="80"/>
      <c r="G46" s="80"/>
      <c r="H46" s="134">
        <f t="shared" si="3"/>
        <v>0</v>
      </c>
      <c r="I46" s="115"/>
      <c r="J46" s="116"/>
      <c r="K46" s="117"/>
      <c r="L46" s="116"/>
      <c r="M46" s="118"/>
      <c r="N46" s="96"/>
      <c r="O46" s="96"/>
      <c r="P46" s="97"/>
      <c r="Q46" s="97"/>
      <c r="R46" s="12"/>
      <c r="S46" s="12"/>
      <c r="T46" s="13"/>
      <c r="V46" s="26"/>
    </row>
    <row r="47" spans="2:22" s="7" customFormat="1" ht="49.5" hidden="1" customHeight="1">
      <c r="B47" s="139" t="s">
        <v>131</v>
      </c>
      <c r="C47" s="85">
        <f t="shared" si="1"/>
        <v>41</v>
      </c>
      <c r="D47" s="91" t="s">
        <v>76</v>
      </c>
      <c r="E47" s="80"/>
      <c r="F47" s="80"/>
      <c r="G47" s="80"/>
      <c r="H47" s="134">
        <f t="shared" si="3"/>
        <v>0</v>
      </c>
      <c r="I47" s="115"/>
      <c r="J47" s="116"/>
      <c r="K47" s="117"/>
      <c r="L47" s="116"/>
      <c r="M47" s="118"/>
      <c r="N47" s="96"/>
      <c r="O47" s="96"/>
      <c r="P47" s="97"/>
      <c r="Q47" s="97"/>
      <c r="R47" s="12"/>
      <c r="S47" s="12"/>
      <c r="T47" s="13"/>
      <c r="V47" s="26"/>
    </row>
    <row r="48" spans="2:22" s="7" customFormat="1" ht="49.5" hidden="1" customHeight="1">
      <c r="B48" s="139" t="s">
        <v>131</v>
      </c>
      <c r="C48" s="85">
        <f t="shared" si="1"/>
        <v>42</v>
      </c>
      <c r="D48" s="91" t="s">
        <v>76</v>
      </c>
      <c r="E48" s="80"/>
      <c r="F48" s="80"/>
      <c r="G48" s="80"/>
      <c r="H48" s="134">
        <f t="shared" si="3"/>
        <v>0</v>
      </c>
      <c r="I48" s="115"/>
      <c r="J48" s="116"/>
      <c r="K48" s="117"/>
      <c r="L48" s="116"/>
      <c r="M48" s="118"/>
      <c r="N48" s="96"/>
      <c r="O48" s="96"/>
      <c r="P48" s="97"/>
      <c r="Q48" s="97"/>
      <c r="R48" s="12"/>
      <c r="S48" s="12"/>
      <c r="T48" s="13"/>
      <c r="V48" s="26"/>
    </row>
    <row r="49" spans="2:22" s="7" customFormat="1" ht="49.5" hidden="1" customHeight="1">
      <c r="B49" s="139" t="s">
        <v>131</v>
      </c>
      <c r="C49" s="85">
        <f t="shared" si="1"/>
        <v>43</v>
      </c>
      <c r="D49" s="91" t="s">
        <v>76</v>
      </c>
      <c r="E49" s="80"/>
      <c r="F49" s="80"/>
      <c r="G49" s="80"/>
      <c r="H49" s="134">
        <f t="shared" si="3"/>
        <v>0</v>
      </c>
      <c r="I49" s="115"/>
      <c r="J49" s="116"/>
      <c r="K49" s="117"/>
      <c r="L49" s="116"/>
      <c r="M49" s="118"/>
      <c r="N49" s="96"/>
      <c r="O49" s="96"/>
      <c r="P49" s="97"/>
      <c r="Q49" s="97"/>
      <c r="R49" s="12"/>
      <c r="S49" s="12"/>
      <c r="T49" s="13"/>
      <c r="V49" s="26"/>
    </row>
    <row r="50" spans="2:22" s="7" customFormat="1" ht="49.5" hidden="1" customHeight="1">
      <c r="B50" s="139" t="s">
        <v>131</v>
      </c>
      <c r="C50" s="85">
        <f t="shared" si="1"/>
        <v>44</v>
      </c>
      <c r="D50" s="91" t="s">
        <v>76</v>
      </c>
      <c r="E50" s="80"/>
      <c r="F50" s="80"/>
      <c r="G50" s="80"/>
      <c r="H50" s="134">
        <f t="shared" si="3"/>
        <v>0</v>
      </c>
      <c r="I50" s="115"/>
      <c r="J50" s="116"/>
      <c r="K50" s="117"/>
      <c r="L50" s="116"/>
      <c r="M50" s="118"/>
      <c r="N50" s="96"/>
      <c r="O50" s="96"/>
      <c r="P50" s="97"/>
      <c r="Q50" s="97"/>
      <c r="R50" s="12"/>
      <c r="S50" s="12"/>
      <c r="T50" s="13"/>
      <c r="V50" s="26"/>
    </row>
    <row r="51" spans="2:22" s="7" customFormat="1" ht="49.5" hidden="1" customHeight="1">
      <c r="B51" s="139" t="s">
        <v>131</v>
      </c>
      <c r="C51" s="85">
        <f t="shared" si="1"/>
        <v>45</v>
      </c>
      <c r="D51" s="91" t="s">
        <v>76</v>
      </c>
      <c r="E51" s="80"/>
      <c r="F51" s="80"/>
      <c r="G51" s="80"/>
      <c r="H51" s="134">
        <f t="shared" si="3"/>
        <v>0</v>
      </c>
      <c r="I51" s="115"/>
      <c r="J51" s="116"/>
      <c r="K51" s="117"/>
      <c r="L51" s="116"/>
      <c r="M51" s="118"/>
      <c r="N51" s="96"/>
      <c r="O51" s="96"/>
      <c r="P51" s="97"/>
      <c r="Q51" s="97"/>
      <c r="R51" s="12"/>
      <c r="S51" s="12"/>
      <c r="T51" s="13"/>
      <c r="V51" s="26"/>
    </row>
    <row r="52" spans="2:22" s="7" customFormat="1" ht="49.5" hidden="1" customHeight="1">
      <c r="B52" s="139" t="s">
        <v>131</v>
      </c>
      <c r="C52" s="85">
        <f t="shared" si="1"/>
        <v>46</v>
      </c>
      <c r="D52" s="91" t="s">
        <v>76</v>
      </c>
      <c r="E52" s="80"/>
      <c r="F52" s="80"/>
      <c r="G52" s="80"/>
      <c r="H52" s="134">
        <f t="shared" si="3"/>
        <v>0</v>
      </c>
      <c r="I52" s="115"/>
      <c r="J52" s="116"/>
      <c r="K52" s="117"/>
      <c r="L52" s="116"/>
      <c r="M52" s="118"/>
      <c r="N52" s="96"/>
      <c r="O52" s="96"/>
      <c r="P52" s="97"/>
      <c r="Q52" s="97"/>
      <c r="R52" s="12"/>
      <c r="S52" s="12"/>
      <c r="T52" s="13"/>
      <c r="V52" s="26"/>
    </row>
    <row r="53" spans="2:22" s="7" customFormat="1" ht="49.5" hidden="1" customHeight="1">
      <c r="B53" s="139" t="s">
        <v>131</v>
      </c>
      <c r="C53" s="85">
        <f t="shared" si="1"/>
        <v>47</v>
      </c>
      <c r="D53" s="91" t="s">
        <v>76</v>
      </c>
      <c r="E53" s="80"/>
      <c r="F53" s="80"/>
      <c r="G53" s="80"/>
      <c r="H53" s="134">
        <f t="shared" si="3"/>
        <v>0</v>
      </c>
      <c r="I53" s="115"/>
      <c r="J53" s="116"/>
      <c r="K53" s="117"/>
      <c r="L53" s="116"/>
      <c r="M53" s="118"/>
      <c r="N53" s="96"/>
      <c r="O53" s="96"/>
      <c r="P53" s="97"/>
      <c r="Q53" s="97"/>
      <c r="R53" s="12"/>
      <c r="S53" s="12"/>
      <c r="T53" s="13"/>
      <c r="V53" s="26"/>
    </row>
    <row r="54" spans="2:22" s="7" customFormat="1" ht="49.5" hidden="1" customHeight="1">
      <c r="B54" s="139" t="s">
        <v>131</v>
      </c>
      <c r="C54" s="85">
        <f t="shared" si="1"/>
        <v>48</v>
      </c>
      <c r="D54" s="91" t="s">
        <v>76</v>
      </c>
      <c r="E54" s="80"/>
      <c r="F54" s="80"/>
      <c r="G54" s="80"/>
      <c r="H54" s="134">
        <f t="shared" si="3"/>
        <v>0</v>
      </c>
      <c r="I54" s="115"/>
      <c r="J54" s="116"/>
      <c r="K54" s="117"/>
      <c r="L54" s="116"/>
      <c r="M54" s="118"/>
      <c r="N54" s="96"/>
      <c r="O54" s="96"/>
      <c r="P54" s="97"/>
      <c r="Q54" s="97"/>
      <c r="R54" s="12"/>
      <c r="S54" s="12"/>
      <c r="T54" s="13"/>
      <c r="V54" s="26"/>
    </row>
    <row r="55" spans="2:22" s="7" customFormat="1" ht="49.5" hidden="1" customHeight="1">
      <c r="B55" s="139" t="s">
        <v>131</v>
      </c>
      <c r="C55" s="85">
        <f t="shared" si="1"/>
        <v>49</v>
      </c>
      <c r="D55" s="91" t="s">
        <v>76</v>
      </c>
      <c r="E55" s="80"/>
      <c r="F55" s="80"/>
      <c r="G55" s="80"/>
      <c r="H55" s="134">
        <f t="shared" si="3"/>
        <v>0</v>
      </c>
      <c r="I55" s="115"/>
      <c r="J55" s="116"/>
      <c r="K55" s="117"/>
      <c r="L55" s="116"/>
      <c r="M55" s="118"/>
      <c r="N55" s="96"/>
      <c r="O55" s="96"/>
      <c r="P55" s="97"/>
      <c r="Q55" s="97"/>
      <c r="R55" s="12"/>
      <c r="S55" s="12"/>
      <c r="T55" s="13"/>
      <c r="V55" s="26"/>
    </row>
    <row r="56" spans="2:22" s="7" customFormat="1" ht="49.5" hidden="1" customHeight="1">
      <c r="B56" s="139" t="s">
        <v>131</v>
      </c>
      <c r="C56" s="85">
        <f t="shared" si="1"/>
        <v>50</v>
      </c>
      <c r="D56" s="91" t="s">
        <v>76</v>
      </c>
      <c r="E56" s="80"/>
      <c r="F56" s="80"/>
      <c r="G56" s="80"/>
      <c r="H56" s="134">
        <f t="shared" si="3"/>
        <v>0</v>
      </c>
      <c r="I56" s="115"/>
      <c r="J56" s="116"/>
      <c r="K56" s="117"/>
      <c r="L56" s="116"/>
      <c r="M56" s="118"/>
      <c r="N56" s="96"/>
      <c r="O56" s="96"/>
      <c r="P56" s="97"/>
      <c r="Q56" s="97"/>
      <c r="R56" s="12"/>
      <c r="S56" s="12"/>
      <c r="T56" s="13"/>
      <c r="V56" s="26"/>
    </row>
    <row r="57" spans="2:22" s="7" customFormat="1" ht="49.5" hidden="1" customHeight="1">
      <c r="B57" s="139" t="s">
        <v>131</v>
      </c>
      <c r="C57" s="85">
        <f t="shared" si="1"/>
        <v>51</v>
      </c>
      <c r="D57" s="91" t="s">
        <v>76</v>
      </c>
      <c r="E57" s="80"/>
      <c r="F57" s="80"/>
      <c r="G57" s="80"/>
      <c r="H57" s="134">
        <f t="shared" si="3"/>
        <v>0</v>
      </c>
      <c r="I57" s="115"/>
      <c r="J57" s="116"/>
      <c r="K57" s="117"/>
      <c r="L57" s="116"/>
      <c r="M57" s="118"/>
      <c r="N57" s="96"/>
      <c r="O57" s="96"/>
      <c r="P57" s="97"/>
      <c r="Q57" s="97"/>
      <c r="R57" s="12"/>
      <c r="S57" s="12"/>
      <c r="T57" s="13"/>
      <c r="V57" s="26"/>
    </row>
    <row r="58" spans="2:22" s="7" customFormat="1" ht="49.5" hidden="1" customHeight="1">
      <c r="B58" s="139" t="s">
        <v>131</v>
      </c>
      <c r="C58" s="85">
        <f t="shared" si="1"/>
        <v>52</v>
      </c>
      <c r="D58" s="91" t="s">
        <v>76</v>
      </c>
      <c r="E58" s="80"/>
      <c r="F58" s="80"/>
      <c r="G58" s="80"/>
      <c r="H58" s="134">
        <f t="shared" si="2"/>
        <v>0</v>
      </c>
      <c r="I58" s="115"/>
      <c r="J58" s="116"/>
      <c r="K58" s="117"/>
      <c r="L58" s="116"/>
      <c r="M58" s="118"/>
      <c r="N58" s="96"/>
      <c r="O58" s="96"/>
      <c r="P58" s="97"/>
      <c r="Q58" s="97"/>
      <c r="R58" s="12"/>
      <c r="S58" s="12"/>
      <c r="T58" s="13"/>
      <c r="V58" s="26"/>
    </row>
    <row r="59" spans="2:22" s="7" customFormat="1" ht="49.5" hidden="1" customHeight="1">
      <c r="B59" s="139" t="s">
        <v>131</v>
      </c>
      <c r="C59" s="85">
        <f t="shared" si="1"/>
        <v>53</v>
      </c>
      <c r="D59" s="91" t="s">
        <v>76</v>
      </c>
      <c r="E59" s="80"/>
      <c r="F59" s="80"/>
      <c r="G59" s="80"/>
      <c r="H59" s="134">
        <f t="shared" si="2"/>
        <v>0</v>
      </c>
      <c r="I59" s="115"/>
      <c r="J59" s="116"/>
      <c r="K59" s="117"/>
      <c r="L59" s="116"/>
      <c r="M59" s="118"/>
      <c r="N59" s="96"/>
      <c r="O59" s="96"/>
      <c r="P59" s="97"/>
      <c r="Q59" s="97"/>
      <c r="R59" s="12"/>
      <c r="S59" s="12"/>
      <c r="T59" s="13"/>
      <c r="V59" s="26"/>
    </row>
    <row r="60" spans="2:22" s="7" customFormat="1" ht="49.5" hidden="1" customHeight="1">
      <c r="B60" s="139" t="s">
        <v>131</v>
      </c>
      <c r="C60" s="85">
        <f t="shared" si="1"/>
        <v>54</v>
      </c>
      <c r="D60" s="91" t="s">
        <v>76</v>
      </c>
      <c r="E60" s="80"/>
      <c r="F60" s="80"/>
      <c r="G60" s="80"/>
      <c r="H60" s="134">
        <f t="shared" si="2"/>
        <v>0</v>
      </c>
      <c r="I60" s="115"/>
      <c r="J60" s="116"/>
      <c r="K60" s="117"/>
      <c r="L60" s="116"/>
      <c r="M60" s="118"/>
      <c r="N60" s="96"/>
      <c r="O60" s="96"/>
      <c r="P60" s="97"/>
      <c r="Q60" s="97"/>
      <c r="R60" s="10"/>
      <c r="S60" s="10"/>
      <c r="T60" s="11"/>
      <c r="V60" s="26"/>
    </row>
    <row r="61" spans="2:22" s="7" customFormat="1" ht="49.5" hidden="1" customHeight="1">
      <c r="B61" s="139" t="s">
        <v>131</v>
      </c>
      <c r="C61" s="85">
        <f t="shared" si="1"/>
        <v>55</v>
      </c>
      <c r="D61" s="91" t="s">
        <v>76</v>
      </c>
      <c r="E61" s="80"/>
      <c r="F61" s="80"/>
      <c r="G61" s="80"/>
      <c r="H61" s="134">
        <f t="shared" ref="H61:H65" si="4">IF(L61&lt;=0,I61*J61,I61*J61*L61)</f>
        <v>0</v>
      </c>
      <c r="I61" s="115"/>
      <c r="J61" s="116"/>
      <c r="K61" s="117"/>
      <c r="L61" s="116"/>
      <c r="M61" s="118"/>
      <c r="N61" s="96"/>
      <c r="O61" s="96"/>
      <c r="P61" s="97"/>
      <c r="Q61" s="97"/>
      <c r="R61" s="12"/>
      <c r="S61" s="12"/>
      <c r="T61" s="13"/>
      <c r="V61" s="26"/>
    </row>
    <row r="62" spans="2:22" s="7" customFormat="1" ht="49.5" hidden="1" customHeight="1">
      <c r="B62" s="139" t="s">
        <v>131</v>
      </c>
      <c r="C62" s="85">
        <f t="shared" si="1"/>
        <v>56</v>
      </c>
      <c r="D62" s="91" t="s">
        <v>76</v>
      </c>
      <c r="E62" s="80"/>
      <c r="F62" s="80"/>
      <c r="G62" s="80"/>
      <c r="H62" s="134">
        <f t="shared" si="4"/>
        <v>0</v>
      </c>
      <c r="I62" s="115"/>
      <c r="J62" s="116"/>
      <c r="K62" s="117"/>
      <c r="L62" s="116"/>
      <c r="M62" s="118"/>
      <c r="N62" s="96"/>
      <c r="O62" s="96"/>
      <c r="P62" s="97"/>
      <c r="Q62" s="97"/>
      <c r="R62" s="12"/>
      <c r="S62" s="12"/>
      <c r="T62" s="13"/>
      <c r="V62" s="26"/>
    </row>
    <row r="63" spans="2:22" s="7" customFormat="1" ht="49.5" hidden="1" customHeight="1">
      <c r="B63" s="139" t="s">
        <v>131</v>
      </c>
      <c r="C63" s="85">
        <f t="shared" si="1"/>
        <v>57</v>
      </c>
      <c r="D63" s="91" t="s">
        <v>76</v>
      </c>
      <c r="E63" s="80"/>
      <c r="F63" s="80"/>
      <c r="G63" s="80"/>
      <c r="H63" s="134">
        <f t="shared" si="4"/>
        <v>0</v>
      </c>
      <c r="I63" s="115"/>
      <c r="J63" s="116"/>
      <c r="K63" s="117"/>
      <c r="L63" s="116"/>
      <c r="M63" s="118"/>
      <c r="N63" s="96"/>
      <c r="O63" s="96"/>
      <c r="P63" s="97"/>
      <c r="Q63" s="97"/>
      <c r="R63" s="12"/>
      <c r="S63" s="12"/>
      <c r="T63" s="13"/>
      <c r="V63" s="26"/>
    </row>
    <row r="64" spans="2:22" s="7" customFormat="1" ht="49.5" hidden="1" customHeight="1">
      <c r="B64" s="139" t="s">
        <v>131</v>
      </c>
      <c r="C64" s="85">
        <f t="shared" si="1"/>
        <v>58</v>
      </c>
      <c r="D64" s="91" t="s">
        <v>76</v>
      </c>
      <c r="E64" s="80"/>
      <c r="F64" s="80"/>
      <c r="G64" s="80"/>
      <c r="H64" s="134">
        <f t="shared" si="4"/>
        <v>0</v>
      </c>
      <c r="I64" s="115"/>
      <c r="J64" s="116"/>
      <c r="K64" s="117"/>
      <c r="L64" s="116"/>
      <c r="M64" s="118"/>
      <c r="N64" s="96"/>
      <c r="O64" s="96"/>
      <c r="P64" s="97"/>
      <c r="Q64" s="97"/>
      <c r="R64" s="12"/>
      <c r="S64" s="12"/>
      <c r="T64" s="13"/>
      <c r="V64" s="26"/>
    </row>
    <row r="65" spans="2:22" s="7" customFormat="1" ht="49.5" hidden="1" customHeight="1">
      <c r="B65" s="139" t="s">
        <v>131</v>
      </c>
      <c r="C65" s="85">
        <f t="shared" si="1"/>
        <v>59</v>
      </c>
      <c r="D65" s="91" t="s">
        <v>76</v>
      </c>
      <c r="E65" s="80"/>
      <c r="F65" s="80"/>
      <c r="G65" s="80"/>
      <c r="H65" s="134">
        <f t="shared" si="4"/>
        <v>0</v>
      </c>
      <c r="I65" s="115"/>
      <c r="J65" s="116"/>
      <c r="K65" s="117"/>
      <c r="L65" s="116"/>
      <c r="M65" s="118"/>
      <c r="N65" s="96"/>
      <c r="O65" s="96"/>
      <c r="P65" s="97"/>
      <c r="Q65" s="97"/>
      <c r="R65" s="10"/>
      <c r="S65" s="10"/>
      <c r="T65" s="11"/>
      <c r="V65" s="26"/>
    </row>
    <row r="66" spans="2:22" s="7" customFormat="1" ht="49.5" hidden="1" customHeight="1" thickBot="1">
      <c r="B66" s="140" t="s">
        <v>131</v>
      </c>
      <c r="C66" s="83">
        <f t="shared" si="1"/>
        <v>60</v>
      </c>
      <c r="D66" s="29" t="s">
        <v>76</v>
      </c>
      <c r="E66" s="82"/>
      <c r="F66" s="82"/>
      <c r="G66" s="82"/>
      <c r="H66" s="135">
        <f t="shared" si="0"/>
        <v>0</v>
      </c>
      <c r="I66" s="119"/>
      <c r="J66" s="120"/>
      <c r="K66" s="121"/>
      <c r="L66" s="120"/>
      <c r="M66" s="122"/>
      <c r="N66" s="98"/>
      <c r="O66" s="98"/>
      <c r="P66" s="99"/>
      <c r="Q66" s="99"/>
      <c r="R66" s="12"/>
      <c r="S66" s="12"/>
      <c r="T66" s="13"/>
      <c r="V66" s="26"/>
    </row>
    <row r="67" spans="2:22" s="7" customFormat="1" ht="49.5" customHeight="1" thickTop="1" thickBot="1">
      <c r="B67" s="141" t="s">
        <v>68</v>
      </c>
      <c r="C67" s="17"/>
      <c r="D67" s="92"/>
      <c r="E67" s="137"/>
      <c r="F67" s="137"/>
      <c r="G67" s="137"/>
      <c r="H67" s="18">
        <f>SUM(H7:H66)</f>
        <v>0</v>
      </c>
      <c r="I67" s="123"/>
      <c r="J67" s="124"/>
      <c r="K67" s="124"/>
      <c r="L67" s="124"/>
      <c r="M67" s="124"/>
      <c r="N67" s="100"/>
      <c r="O67" s="100"/>
      <c r="P67" s="101"/>
      <c r="Q67" s="101"/>
      <c r="R67" s="8"/>
      <c r="S67" s="8"/>
      <c r="T67" s="9"/>
    </row>
    <row r="68" spans="2:22" s="106" customFormat="1" ht="49.5" customHeight="1" thickTop="1">
      <c r="B68" s="142" t="s">
        <v>129</v>
      </c>
      <c r="C68" s="84">
        <v>1</v>
      </c>
      <c r="D68" s="28" t="s">
        <v>69</v>
      </c>
      <c r="E68" s="79"/>
      <c r="F68" s="79"/>
      <c r="G68" s="79"/>
      <c r="H68" s="133">
        <f>IF(L68&lt;=0,I68*J68,I68*J68*L68)</f>
        <v>0</v>
      </c>
      <c r="I68" s="110"/>
      <c r="J68" s="111"/>
      <c r="K68" s="112"/>
      <c r="L68" s="113"/>
      <c r="M68" s="114"/>
      <c r="N68" s="94"/>
      <c r="O68" s="102"/>
      <c r="P68" s="103"/>
      <c r="Q68" s="103"/>
      <c r="R68" s="104"/>
      <c r="S68" s="104"/>
      <c r="T68" s="105"/>
      <c r="V68" s="107"/>
    </row>
    <row r="69" spans="2:22" s="7" customFormat="1" ht="49.5" customHeight="1">
      <c r="B69" s="139" t="s">
        <v>129</v>
      </c>
      <c r="C69" s="85">
        <f>C68+1</f>
        <v>2</v>
      </c>
      <c r="D69" s="91" t="s">
        <v>69</v>
      </c>
      <c r="E69" s="80"/>
      <c r="F69" s="80"/>
      <c r="G69" s="80"/>
      <c r="H69" s="134">
        <f t="shared" ref="H69:H97" si="5">IF(L69&lt;=0,I69*J69,I69*J69*L69)</f>
        <v>0</v>
      </c>
      <c r="I69" s="115"/>
      <c r="J69" s="116"/>
      <c r="K69" s="117"/>
      <c r="L69" s="116"/>
      <c r="M69" s="118"/>
      <c r="N69" s="96"/>
      <c r="O69" s="96"/>
      <c r="P69" s="97"/>
      <c r="Q69" s="97"/>
      <c r="R69" s="10"/>
      <c r="S69" s="10"/>
      <c r="T69" s="11"/>
      <c r="V69" s="26"/>
    </row>
    <row r="70" spans="2:22" s="7" customFormat="1" ht="49.5" customHeight="1">
      <c r="B70" s="139" t="s">
        <v>129</v>
      </c>
      <c r="C70" s="85">
        <f t="shared" ref="C70:C97" si="6">C69+1</f>
        <v>3</v>
      </c>
      <c r="D70" s="91" t="s">
        <v>69</v>
      </c>
      <c r="E70" s="80"/>
      <c r="F70" s="80"/>
      <c r="G70" s="80"/>
      <c r="H70" s="134">
        <f t="shared" si="5"/>
        <v>0</v>
      </c>
      <c r="I70" s="115"/>
      <c r="J70" s="116"/>
      <c r="K70" s="117"/>
      <c r="L70" s="116"/>
      <c r="M70" s="118"/>
      <c r="N70" s="96"/>
      <c r="O70" s="96"/>
      <c r="P70" s="97"/>
      <c r="Q70" s="97"/>
      <c r="R70" s="12"/>
      <c r="S70" s="12"/>
      <c r="T70" s="13"/>
      <c r="V70" s="26"/>
    </row>
    <row r="71" spans="2:22" s="7" customFormat="1" ht="49.5" customHeight="1">
      <c r="B71" s="139" t="s">
        <v>129</v>
      </c>
      <c r="C71" s="85">
        <f t="shared" si="6"/>
        <v>4</v>
      </c>
      <c r="D71" s="91" t="s">
        <v>69</v>
      </c>
      <c r="E71" s="80"/>
      <c r="F71" s="80"/>
      <c r="G71" s="80"/>
      <c r="H71" s="134">
        <f t="shared" si="5"/>
        <v>0</v>
      </c>
      <c r="I71" s="115"/>
      <c r="J71" s="116"/>
      <c r="K71" s="117"/>
      <c r="L71" s="116"/>
      <c r="M71" s="118"/>
      <c r="N71" s="96"/>
      <c r="O71" s="96"/>
      <c r="P71" s="97"/>
      <c r="Q71" s="97"/>
      <c r="R71" s="12"/>
      <c r="S71" s="12"/>
      <c r="T71" s="13"/>
      <c r="V71" s="26"/>
    </row>
    <row r="72" spans="2:22" s="7" customFormat="1" ht="49.5" customHeight="1">
      <c r="B72" s="139" t="s">
        <v>129</v>
      </c>
      <c r="C72" s="85">
        <f t="shared" si="6"/>
        <v>5</v>
      </c>
      <c r="D72" s="91" t="s">
        <v>69</v>
      </c>
      <c r="E72" s="80"/>
      <c r="F72" s="80"/>
      <c r="G72" s="80"/>
      <c r="H72" s="134">
        <f t="shared" si="5"/>
        <v>0</v>
      </c>
      <c r="I72" s="115"/>
      <c r="J72" s="116"/>
      <c r="K72" s="117"/>
      <c r="L72" s="116"/>
      <c r="M72" s="118"/>
      <c r="N72" s="96"/>
      <c r="O72" s="96"/>
      <c r="P72" s="97"/>
      <c r="Q72" s="97"/>
      <c r="R72" s="12"/>
      <c r="S72" s="12"/>
      <c r="T72" s="13"/>
      <c r="V72" s="26"/>
    </row>
    <row r="73" spans="2:22" s="7" customFormat="1" ht="49.5" customHeight="1">
      <c r="B73" s="139" t="s">
        <v>129</v>
      </c>
      <c r="C73" s="85">
        <f t="shared" si="6"/>
        <v>6</v>
      </c>
      <c r="D73" s="91" t="s">
        <v>69</v>
      </c>
      <c r="E73" s="80"/>
      <c r="F73" s="80"/>
      <c r="G73" s="80"/>
      <c r="H73" s="134">
        <f t="shared" si="5"/>
        <v>0</v>
      </c>
      <c r="I73" s="115"/>
      <c r="J73" s="116"/>
      <c r="K73" s="117"/>
      <c r="L73" s="116"/>
      <c r="M73" s="118"/>
      <c r="N73" s="96"/>
      <c r="O73" s="96"/>
      <c r="P73" s="97"/>
      <c r="Q73" s="97"/>
      <c r="R73" s="12"/>
      <c r="S73" s="12"/>
      <c r="T73" s="13"/>
      <c r="V73" s="26"/>
    </row>
    <row r="74" spans="2:22" s="7" customFormat="1" ht="49.5" customHeight="1">
      <c r="B74" s="139" t="s">
        <v>129</v>
      </c>
      <c r="C74" s="85">
        <f t="shared" si="6"/>
        <v>7</v>
      </c>
      <c r="D74" s="91" t="s">
        <v>69</v>
      </c>
      <c r="E74" s="80"/>
      <c r="F74" s="80"/>
      <c r="G74" s="80"/>
      <c r="H74" s="134">
        <f t="shared" ref="H74:H78" si="7">IF(L74&lt;=0,I74*J74,I74*J74*L74)</f>
        <v>0</v>
      </c>
      <c r="I74" s="115"/>
      <c r="J74" s="116"/>
      <c r="K74" s="117"/>
      <c r="L74" s="116"/>
      <c r="M74" s="118"/>
      <c r="N74" s="96"/>
      <c r="O74" s="96"/>
      <c r="P74" s="97"/>
      <c r="Q74" s="97"/>
      <c r="R74" s="10"/>
      <c r="S74" s="10"/>
      <c r="T74" s="11"/>
      <c r="V74" s="26"/>
    </row>
    <row r="75" spans="2:22" s="7" customFormat="1" ht="49.5" customHeight="1">
      <c r="B75" s="139" t="s">
        <v>129</v>
      </c>
      <c r="C75" s="85">
        <f t="shared" si="6"/>
        <v>8</v>
      </c>
      <c r="D75" s="91" t="s">
        <v>69</v>
      </c>
      <c r="E75" s="80"/>
      <c r="F75" s="80"/>
      <c r="G75" s="80"/>
      <c r="H75" s="134">
        <f t="shared" si="7"/>
        <v>0</v>
      </c>
      <c r="I75" s="115"/>
      <c r="J75" s="116"/>
      <c r="K75" s="117"/>
      <c r="L75" s="116"/>
      <c r="M75" s="118"/>
      <c r="N75" s="96"/>
      <c r="O75" s="96"/>
      <c r="P75" s="97"/>
      <c r="Q75" s="97"/>
      <c r="R75" s="12"/>
      <c r="S75" s="12"/>
      <c r="T75" s="13"/>
      <c r="V75" s="26"/>
    </row>
    <row r="76" spans="2:22" s="7" customFormat="1" ht="49.5" customHeight="1">
      <c r="B76" s="139" t="s">
        <v>129</v>
      </c>
      <c r="C76" s="85">
        <f t="shared" si="6"/>
        <v>9</v>
      </c>
      <c r="D76" s="91" t="s">
        <v>69</v>
      </c>
      <c r="E76" s="80"/>
      <c r="F76" s="80"/>
      <c r="G76" s="80"/>
      <c r="H76" s="134">
        <f t="shared" si="7"/>
        <v>0</v>
      </c>
      <c r="I76" s="115"/>
      <c r="J76" s="116"/>
      <c r="K76" s="117"/>
      <c r="L76" s="116"/>
      <c r="M76" s="118"/>
      <c r="N76" s="96"/>
      <c r="O76" s="96"/>
      <c r="P76" s="97"/>
      <c r="Q76" s="97"/>
      <c r="R76" s="12"/>
      <c r="S76" s="12"/>
      <c r="T76" s="13"/>
      <c r="V76" s="26"/>
    </row>
    <row r="77" spans="2:22" s="7" customFormat="1" ht="49.5" customHeight="1">
      <c r="B77" s="139" t="s">
        <v>129</v>
      </c>
      <c r="C77" s="85">
        <f t="shared" si="6"/>
        <v>10</v>
      </c>
      <c r="D77" s="91" t="s">
        <v>69</v>
      </c>
      <c r="E77" s="80"/>
      <c r="F77" s="80"/>
      <c r="G77" s="80"/>
      <c r="H77" s="134">
        <f t="shared" si="7"/>
        <v>0</v>
      </c>
      <c r="I77" s="115"/>
      <c r="J77" s="116"/>
      <c r="K77" s="117"/>
      <c r="L77" s="116"/>
      <c r="M77" s="118"/>
      <c r="N77" s="96"/>
      <c r="O77" s="96"/>
      <c r="P77" s="97"/>
      <c r="Q77" s="97"/>
      <c r="R77" s="12"/>
      <c r="S77" s="12"/>
      <c r="T77" s="13"/>
      <c r="V77" s="26"/>
    </row>
    <row r="78" spans="2:22" s="7" customFormat="1" ht="49.5" customHeight="1">
      <c r="B78" s="139" t="s">
        <v>129</v>
      </c>
      <c r="C78" s="85">
        <f t="shared" si="6"/>
        <v>11</v>
      </c>
      <c r="D78" s="91" t="s">
        <v>69</v>
      </c>
      <c r="E78" s="80"/>
      <c r="F78" s="80"/>
      <c r="G78" s="80"/>
      <c r="H78" s="134">
        <f t="shared" si="7"/>
        <v>0</v>
      </c>
      <c r="I78" s="115"/>
      <c r="J78" s="116"/>
      <c r="K78" s="117"/>
      <c r="L78" s="116"/>
      <c r="M78" s="118"/>
      <c r="N78" s="96"/>
      <c r="O78" s="96"/>
      <c r="P78" s="97"/>
      <c r="Q78" s="97"/>
      <c r="R78" s="12"/>
      <c r="S78" s="12"/>
      <c r="T78" s="13"/>
      <c r="V78" s="26"/>
    </row>
    <row r="79" spans="2:22" s="7" customFormat="1" ht="49.5" customHeight="1">
      <c r="B79" s="139" t="s">
        <v>129</v>
      </c>
      <c r="C79" s="85">
        <f t="shared" si="6"/>
        <v>12</v>
      </c>
      <c r="D79" s="91" t="s">
        <v>69</v>
      </c>
      <c r="E79" s="80"/>
      <c r="F79" s="80"/>
      <c r="G79" s="80"/>
      <c r="H79" s="134">
        <f t="shared" si="5"/>
        <v>0</v>
      </c>
      <c r="I79" s="115"/>
      <c r="J79" s="116"/>
      <c r="K79" s="117"/>
      <c r="L79" s="116"/>
      <c r="M79" s="118"/>
      <c r="N79" s="96"/>
      <c r="O79" s="96"/>
      <c r="P79" s="97"/>
      <c r="Q79" s="97"/>
      <c r="R79" s="12"/>
      <c r="S79" s="12"/>
      <c r="T79" s="13"/>
      <c r="V79" s="26"/>
    </row>
    <row r="80" spans="2:22" s="7" customFormat="1" ht="49.5" customHeight="1">
      <c r="B80" s="139" t="s">
        <v>129</v>
      </c>
      <c r="C80" s="85">
        <f t="shared" si="6"/>
        <v>13</v>
      </c>
      <c r="D80" s="91" t="s">
        <v>69</v>
      </c>
      <c r="E80" s="80"/>
      <c r="F80" s="80"/>
      <c r="G80" s="80"/>
      <c r="H80" s="134">
        <f t="shared" ref="H80:H94" si="8">IF(L80&lt;=0,I80*J80,I80*J80*L80)</f>
        <v>0</v>
      </c>
      <c r="I80" s="115"/>
      <c r="J80" s="116"/>
      <c r="K80" s="117"/>
      <c r="L80" s="116"/>
      <c r="M80" s="118"/>
      <c r="N80" s="96"/>
      <c r="O80" s="96"/>
      <c r="P80" s="97"/>
      <c r="Q80" s="97"/>
      <c r="R80" s="10"/>
      <c r="S80" s="10"/>
      <c r="T80" s="11"/>
      <c r="V80" s="26"/>
    </row>
    <row r="81" spans="2:22" s="7" customFormat="1" ht="49.5" customHeight="1">
      <c r="B81" s="139" t="s">
        <v>129</v>
      </c>
      <c r="C81" s="85">
        <f t="shared" si="6"/>
        <v>14</v>
      </c>
      <c r="D81" s="91" t="s">
        <v>69</v>
      </c>
      <c r="E81" s="80"/>
      <c r="F81" s="80"/>
      <c r="G81" s="80"/>
      <c r="H81" s="134">
        <f t="shared" si="8"/>
        <v>0</v>
      </c>
      <c r="I81" s="115"/>
      <c r="J81" s="116"/>
      <c r="K81" s="117"/>
      <c r="L81" s="116"/>
      <c r="M81" s="118"/>
      <c r="N81" s="96"/>
      <c r="O81" s="96"/>
      <c r="P81" s="97"/>
      <c r="Q81" s="97"/>
      <c r="R81" s="12"/>
      <c r="S81" s="12"/>
      <c r="T81" s="13"/>
      <c r="V81" s="26"/>
    </row>
    <row r="82" spans="2:22" s="7" customFormat="1" ht="49.5" customHeight="1">
      <c r="B82" s="139" t="s">
        <v>129</v>
      </c>
      <c r="C82" s="85">
        <f t="shared" si="6"/>
        <v>15</v>
      </c>
      <c r="D82" s="91" t="s">
        <v>69</v>
      </c>
      <c r="E82" s="80"/>
      <c r="F82" s="80"/>
      <c r="G82" s="80"/>
      <c r="H82" s="134">
        <f t="shared" si="8"/>
        <v>0</v>
      </c>
      <c r="I82" s="115"/>
      <c r="J82" s="116"/>
      <c r="K82" s="117"/>
      <c r="L82" s="116"/>
      <c r="M82" s="118"/>
      <c r="N82" s="96"/>
      <c r="O82" s="96"/>
      <c r="P82" s="97"/>
      <c r="Q82" s="97"/>
      <c r="R82" s="12"/>
      <c r="S82" s="12"/>
      <c r="T82" s="13"/>
      <c r="V82" s="26"/>
    </row>
    <row r="83" spans="2:22" s="7" customFormat="1" ht="49.5" customHeight="1">
      <c r="B83" s="139" t="s">
        <v>129</v>
      </c>
      <c r="C83" s="85">
        <f t="shared" si="6"/>
        <v>16</v>
      </c>
      <c r="D83" s="91" t="s">
        <v>69</v>
      </c>
      <c r="E83" s="80"/>
      <c r="F83" s="80"/>
      <c r="G83" s="80"/>
      <c r="H83" s="134">
        <f t="shared" si="8"/>
        <v>0</v>
      </c>
      <c r="I83" s="115"/>
      <c r="J83" s="116"/>
      <c r="K83" s="117"/>
      <c r="L83" s="116"/>
      <c r="M83" s="118"/>
      <c r="N83" s="96"/>
      <c r="O83" s="96"/>
      <c r="P83" s="97"/>
      <c r="Q83" s="97"/>
      <c r="R83" s="12"/>
      <c r="S83" s="12"/>
      <c r="T83" s="13"/>
      <c r="V83" s="26"/>
    </row>
    <row r="84" spans="2:22" s="7" customFormat="1" ht="49.5" customHeight="1">
      <c r="B84" s="139" t="s">
        <v>129</v>
      </c>
      <c r="C84" s="85">
        <f t="shared" si="6"/>
        <v>17</v>
      </c>
      <c r="D84" s="91" t="s">
        <v>69</v>
      </c>
      <c r="E84" s="80"/>
      <c r="F84" s="80"/>
      <c r="G84" s="80"/>
      <c r="H84" s="134">
        <f t="shared" si="8"/>
        <v>0</v>
      </c>
      <c r="I84" s="115"/>
      <c r="J84" s="116"/>
      <c r="K84" s="117"/>
      <c r="L84" s="116"/>
      <c r="M84" s="118"/>
      <c r="N84" s="96"/>
      <c r="O84" s="96"/>
      <c r="P84" s="97"/>
      <c r="Q84" s="97"/>
      <c r="R84" s="12"/>
      <c r="S84" s="12"/>
      <c r="T84" s="13"/>
      <c r="V84" s="26"/>
    </row>
    <row r="85" spans="2:22" s="7" customFormat="1" ht="49.5" customHeight="1">
      <c r="B85" s="139" t="s">
        <v>129</v>
      </c>
      <c r="C85" s="85">
        <f t="shared" si="6"/>
        <v>18</v>
      </c>
      <c r="D85" s="91" t="s">
        <v>69</v>
      </c>
      <c r="E85" s="80"/>
      <c r="F85" s="80"/>
      <c r="G85" s="80"/>
      <c r="H85" s="134">
        <f t="shared" si="8"/>
        <v>0</v>
      </c>
      <c r="I85" s="115"/>
      <c r="J85" s="116"/>
      <c r="K85" s="117"/>
      <c r="L85" s="116"/>
      <c r="M85" s="118"/>
      <c r="N85" s="96"/>
      <c r="O85" s="96"/>
      <c r="P85" s="97"/>
      <c r="Q85" s="97"/>
      <c r="R85" s="10"/>
      <c r="S85" s="10"/>
      <c r="T85" s="11"/>
      <c r="V85" s="26"/>
    </row>
    <row r="86" spans="2:22" s="7" customFormat="1" ht="49.5" customHeight="1">
      <c r="B86" s="139" t="s">
        <v>129</v>
      </c>
      <c r="C86" s="85">
        <f t="shared" si="6"/>
        <v>19</v>
      </c>
      <c r="D86" s="91" t="s">
        <v>69</v>
      </c>
      <c r="E86" s="80"/>
      <c r="F86" s="80"/>
      <c r="G86" s="80"/>
      <c r="H86" s="134">
        <f t="shared" si="8"/>
        <v>0</v>
      </c>
      <c r="I86" s="115"/>
      <c r="J86" s="116"/>
      <c r="K86" s="117"/>
      <c r="L86" s="116"/>
      <c r="M86" s="118"/>
      <c r="N86" s="96"/>
      <c r="O86" s="96"/>
      <c r="P86" s="97"/>
      <c r="Q86" s="97"/>
      <c r="R86" s="12"/>
      <c r="S86" s="12"/>
      <c r="T86" s="13"/>
      <c r="V86" s="26"/>
    </row>
    <row r="87" spans="2:22" s="7" customFormat="1" ht="49.5" customHeight="1">
      <c r="B87" s="139" t="s">
        <v>129</v>
      </c>
      <c r="C87" s="85">
        <f t="shared" si="6"/>
        <v>20</v>
      </c>
      <c r="D87" s="91" t="s">
        <v>69</v>
      </c>
      <c r="E87" s="80"/>
      <c r="F87" s="80"/>
      <c r="G87" s="80"/>
      <c r="H87" s="134">
        <f t="shared" si="8"/>
        <v>0</v>
      </c>
      <c r="I87" s="115"/>
      <c r="J87" s="116"/>
      <c r="K87" s="117"/>
      <c r="L87" s="116"/>
      <c r="M87" s="118"/>
      <c r="N87" s="96"/>
      <c r="O87" s="96"/>
      <c r="P87" s="97"/>
      <c r="Q87" s="97"/>
      <c r="R87" s="12"/>
      <c r="S87" s="12"/>
      <c r="T87" s="13"/>
      <c r="V87" s="26"/>
    </row>
    <row r="88" spans="2:22" s="7" customFormat="1" ht="49.5" customHeight="1">
      <c r="B88" s="139" t="s">
        <v>129</v>
      </c>
      <c r="C88" s="85">
        <f>C87+1</f>
        <v>21</v>
      </c>
      <c r="D88" s="91" t="s">
        <v>69</v>
      </c>
      <c r="E88" s="80"/>
      <c r="F88" s="80"/>
      <c r="G88" s="80"/>
      <c r="H88" s="134">
        <f t="shared" ref="H88:H92" si="9">IF(L88&lt;=0,I88*J88,I88*J88*L88)</f>
        <v>0</v>
      </c>
      <c r="I88" s="115"/>
      <c r="J88" s="116"/>
      <c r="K88" s="117"/>
      <c r="L88" s="116"/>
      <c r="M88" s="118"/>
      <c r="N88" s="96"/>
      <c r="O88" s="96"/>
      <c r="P88" s="97"/>
      <c r="Q88" s="97"/>
      <c r="R88" s="12"/>
      <c r="S88" s="12"/>
      <c r="T88" s="13"/>
      <c r="V88" s="26"/>
    </row>
    <row r="89" spans="2:22" s="7" customFormat="1" ht="49.5" customHeight="1">
      <c r="B89" s="139" t="s">
        <v>129</v>
      </c>
      <c r="C89" s="85">
        <f t="shared" si="6"/>
        <v>22</v>
      </c>
      <c r="D89" s="91" t="s">
        <v>69</v>
      </c>
      <c r="E89" s="80"/>
      <c r="F89" s="80"/>
      <c r="G89" s="80"/>
      <c r="H89" s="134">
        <f t="shared" si="9"/>
        <v>0</v>
      </c>
      <c r="I89" s="115"/>
      <c r="J89" s="116"/>
      <c r="K89" s="117"/>
      <c r="L89" s="116"/>
      <c r="M89" s="118"/>
      <c r="N89" s="96"/>
      <c r="O89" s="96"/>
      <c r="P89" s="97"/>
      <c r="Q89" s="97"/>
      <c r="R89" s="12"/>
      <c r="S89" s="12"/>
      <c r="T89" s="13"/>
      <c r="V89" s="26"/>
    </row>
    <row r="90" spans="2:22" s="7" customFormat="1" ht="49.5" customHeight="1">
      <c r="B90" s="139" t="s">
        <v>129</v>
      </c>
      <c r="C90" s="85">
        <f t="shared" si="6"/>
        <v>23</v>
      </c>
      <c r="D90" s="91" t="s">
        <v>69</v>
      </c>
      <c r="E90" s="80"/>
      <c r="F90" s="80"/>
      <c r="G90" s="80"/>
      <c r="H90" s="134">
        <f t="shared" si="9"/>
        <v>0</v>
      </c>
      <c r="I90" s="115"/>
      <c r="J90" s="116"/>
      <c r="K90" s="117"/>
      <c r="L90" s="116"/>
      <c r="M90" s="118"/>
      <c r="N90" s="96"/>
      <c r="O90" s="96"/>
      <c r="P90" s="97"/>
      <c r="Q90" s="97"/>
      <c r="R90" s="10"/>
      <c r="S90" s="10"/>
      <c r="T90" s="11"/>
      <c r="V90" s="26"/>
    </row>
    <row r="91" spans="2:22" s="7" customFormat="1" ht="49.5" customHeight="1">
      <c r="B91" s="139" t="s">
        <v>129</v>
      </c>
      <c r="C91" s="85">
        <f t="shared" si="6"/>
        <v>24</v>
      </c>
      <c r="D91" s="91" t="s">
        <v>69</v>
      </c>
      <c r="E91" s="80"/>
      <c r="F91" s="80"/>
      <c r="G91" s="80"/>
      <c r="H91" s="134">
        <f t="shared" si="9"/>
        <v>0</v>
      </c>
      <c r="I91" s="115"/>
      <c r="J91" s="116"/>
      <c r="K91" s="117"/>
      <c r="L91" s="116"/>
      <c r="M91" s="118"/>
      <c r="N91" s="96"/>
      <c r="O91" s="96"/>
      <c r="P91" s="97"/>
      <c r="Q91" s="97"/>
      <c r="R91" s="12"/>
      <c r="S91" s="12"/>
      <c r="T91" s="13"/>
      <c r="V91" s="26"/>
    </row>
    <row r="92" spans="2:22" s="7" customFormat="1" ht="49.5" customHeight="1">
      <c r="B92" s="139" t="s">
        <v>129</v>
      </c>
      <c r="C92" s="85">
        <f t="shared" si="6"/>
        <v>25</v>
      </c>
      <c r="D92" s="91" t="s">
        <v>69</v>
      </c>
      <c r="E92" s="80"/>
      <c r="F92" s="80"/>
      <c r="G92" s="80"/>
      <c r="H92" s="134">
        <f t="shared" si="9"/>
        <v>0</v>
      </c>
      <c r="I92" s="115"/>
      <c r="J92" s="116"/>
      <c r="K92" s="117"/>
      <c r="L92" s="116"/>
      <c r="M92" s="118"/>
      <c r="N92" s="96"/>
      <c r="O92" s="96"/>
      <c r="P92" s="97"/>
      <c r="Q92" s="97"/>
      <c r="R92" s="12"/>
      <c r="S92" s="12"/>
      <c r="T92" s="13"/>
      <c r="V92" s="26"/>
    </row>
    <row r="93" spans="2:22" s="7" customFormat="1" ht="49.5" customHeight="1">
      <c r="B93" s="139" t="s">
        <v>129</v>
      </c>
      <c r="C93" s="85">
        <f t="shared" si="6"/>
        <v>26</v>
      </c>
      <c r="D93" s="91" t="s">
        <v>69</v>
      </c>
      <c r="E93" s="80"/>
      <c r="F93" s="80"/>
      <c r="G93" s="80"/>
      <c r="H93" s="134">
        <f t="shared" si="8"/>
        <v>0</v>
      </c>
      <c r="I93" s="115"/>
      <c r="J93" s="116"/>
      <c r="K93" s="117"/>
      <c r="L93" s="116"/>
      <c r="M93" s="118"/>
      <c r="N93" s="96"/>
      <c r="O93" s="96"/>
      <c r="P93" s="97"/>
      <c r="Q93" s="97"/>
      <c r="R93" s="12"/>
      <c r="S93" s="12"/>
      <c r="T93" s="13"/>
      <c r="V93" s="26"/>
    </row>
    <row r="94" spans="2:22" s="7" customFormat="1" ht="49.5" customHeight="1">
      <c r="B94" s="139" t="s">
        <v>129</v>
      </c>
      <c r="C94" s="85">
        <f t="shared" si="6"/>
        <v>27</v>
      </c>
      <c r="D94" s="91" t="s">
        <v>69</v>
      </c>
      <c r="E94" s="80"/>
      <c r="F94" s="80"/>
      <c r="G94" s="80"/>
      <c r="H94" s="134">
        <f t="shared" si="8"/>
        <v>0</v>
      </c>
      <c r="I94" s="115"/>
      <c r="J94" s="116"/>
      <c r="K94" s="117"/>
      <c r="L94" s="116"/>
      <c r="M94" s="118"/>
      <c r="N94" s="96"/>
      <c r="O94" s="96"/>
      <c r="P94" s="97"/>
      <c r="Q94" s="97"/>
      <c r="R94" s="12"/>
      <c r="S94" s="12"/>
      <c r="T94" s="13"/>
      <c r="V94" s="26"/>
    </row>
    <row r="95" spans="2:22" s="7" customFormat="1" ht="49.5" customHeight="1">
      <c r="B95" s="139" t="s">
        <v>129</v>
      </c>
      <c r="C95" s="85">
        <f t="shared" si="6"/>
        <v>28</v>
      </c>
      <c r="D95" s="91" t="s">
        <v>69</v>
      </c>
      <c r="E95" s="80"/>
      <c r="F95" s="80"/>
      <c r="G95" s="80"/>
      <c r="H95" s="134">
        <f t="shared" si="5"/>
        <v>0</v>
      </c>
      <c r="I95" s="115"/>
      <c r="J95" s="116"/>
      <c r="K95" s="117"/>
      <c r="L95" s="116"/>
      <c r="M95" s="118"/>
      <c r="N95" s="96"/>
      <c r="O95" s="96"/>
      <c r="P95" s="97"/>
      <c r="Q95" s="97"/>
      <c r="R95" s="12"/>
      <c r="S95" s="12"/>
      <c r="T95" s="13"/>
      <c r="V95" s="26"/>
    </row>
    <row r="96" spans="2:22" s="7" customFormat="1" ht="49.5" customHeight="1">
      <c r="B96" s="139" t="s">
        <v>129</v>
      </c>
      <c r="C96" s="85">
        <f t="shared" si="6"/>
        <v>29</v>
      </c>
      <c r="D96" s="91" t="s">
        <v>69</v>
      </c>
      <c r="E96" s="80"/>
      <c r="F96" s="80"/>
      <c r="G96" s="80"/>
      <c r="H96" s="134">
        <f t="shared" si="5"/>
        <v>0</v>
      </c>
      <c r="I96" s="115"/>
      <c r="J96" s="116"/>
      <c r="K96" s="117"/>
      <c r="L96" s="116"/>
      <c r="M96" s="118"/>
      <c r="N96" s="96"/>
      <c r="O96" s="96"/>
      <c r="P96" s="97"/>
      <c r="Q96" s="97"/>
      <c r="R96" s="10"/>
      <c r="S96" s="10"/>
      <c r="T96" s="11"/>
      <c r="V96" s="26"/>
    </row>
    <row r="97" spans="2:22" s="7" customFormat="1" ht="49.5" customHeight="1" thickBot="1">
      <c r="B97" s="140" t="s">
        <v>129</v>
      </c>
      <c r="C97" s="83">
        <f t="shared" si="6"/>
        <v>30</v>
      </c>
      <c r="D97" s="29" t="s">
        <v>69</v>
      </c>
      <c r="E97" s="82"/>
      <c r="F97" s="82"/>
      <c r="G97" s="82"/>
      <c r="H97" s="135">
        <f t="shared" si="5"/>
        <v>0</v>
      </c>
      <c r="I97" s="119"/>
      <c r="J97" s="120"/>
      <c r="K97" s="121"/>
      <c r="L97" s="120"/>
      <c r="M97" s="122"/>
      <c r="N97" s="98"/>
      <c r="O97" s="98"/>
      <c r="P97" s="99"/>
      <c r="Q97" s="99"/>
      <c r="R97" s="12"/>
      <c r="S97" s="12"/>
      <c r="T97" s="13"/>
      <c r="V97" s="26"/>
    </row>
    <row r="98" spans="2:22" s="7" customFormat="1" ht="49.5" customHeight="1" thickTop="1" thickBot="1">
      <c r="B98" s="141" t="s">
        <v>68</v>
      </c>
      <c r="C98" s="17"/>
      <c r="D98" s="92"/>
      <c r="E98" s="137"/>
      <c r="F98" s="137"/>
      <c r="G98" s="137"/>
      <c r="H98" s="18">
        <f>SUM(H68:H97)</f>
        <v>0</v>
      </c>
      <c r="I98" s="123"/>
      <c r="J98" s="124"/>
      <c r="K98" s="124"/>
      <c r="L98" s="124"/>
      <c r="M98" s="124"/>
      <c r="N98" s="100"/>
      <c r="O98" s="100"/>
      <c r="P98" s="101"/>
      <c r="Q98" s="101"/>
      <c r="R98" s="8"/>
      <c r="S98" s="8"/>
      <c r="T98" s="9"/>
    </row>
    <row r="99" spans="2:22" s="7" customFormat="1" ht="49.5" customHeight="1" thickTop="1">
      <c r="B99" s="142" t="s">
        <v>130</v>
      </c>
      <c r="C99" s="84">
        <v>1</v>
      </c>
      <c r="D99" s="28" t="s">
        <v>69</v>
      </c>
      <c r="E99" s="79"/>
      <c r="F99" s="79"/>
      <c r="G99" s="79"/>
      <c r="H99" s="136">
        <f t="shared" ref="H99:H128" si="10">IF(L99&lt;=0,I99*J99,I99*J99*L99)</f>
        <v>0</v>
      </c>
      <c r="I99" s="110"/>
      <c r="J99" s="111"/>
      <c r="K99" s="112"/>
      <c r="L99" s="113"/>
      <c r="M99" s="114"/>
      <c r="N99" s="108"/>
      <c r="O99" s="94"/>
      <c r="P99" s="95"/>
      <c r="Q99" s="95"/>
      <c r="R99" s="8"/>
      <c r="S99" s="8"/>
      <c r="T99" s="9"/>
      <c r="V99" s="26"/>
    </row>
    <row r="100" spans="2:22" s="7" customFormat="1" ht="49.5" customHeight="1">
      <c r="B100" s="139" t="s">
        <v>130</v>
      </c>
      <c r="C100" s="85">
        <f>C99+1</f>
        <v>2</v>
      </c>
      <c r="D100" s="91" t="s">
        <v>69</v>
      </c>
      <c r="E100" s="80"/>
      <c r="F100" s="80"/>
      <c r="G100" s="80"/>
      <c r="H100" s="134">
        <f t="shared" ref="H100:H109" si="11">IF(L100&lt;=0,I100*J100,I100*J100*L100)</f>
        <v>0</v>
      </c>
      <c r="I100" s="115"/>
      <c r="J100" s="116"/>
      <c r="K100" s="117"/>
      <c r="L100" s="116"/>
      <c r="M100" s="118"/>
      <c r="N100" s="96"/>
      <c r="O100" s="96"/>
      <c r="P100" s="97"/>
      <c r="Q100" s="97"/>
      <c r="R100" s="10"/>
      <c r="S100" s="10"/>
      <c r="T100" s="11"/>
      <c r="V100" s="26"/>
    </row>
    <row r="101" spans="2:22" s="7" customFormat="1" ht="49.5" customHeight="1">
      <c r="B101" s="139" t="s">
        <v>130</v>
      </c>
      <c r="C101" s="85">
        <f t="shared" ref="C101:C128" si="12">C100+1</f>
        <v>3</v>
      </c>
      <c r="D101" s="91" t="s">
        <v>69</v>
      </c>
      <c r="E101" s="80"/>
      <c r="F101" s="80"/>
      <c r="G101" s="80"/>
      <c r="H101" s="134">
        <f t="shared" si="11"/>
        <v>0</v>
      </c>
      <c r="I101" s="115"/>
      <c r="J101" s="116"/>
      <c r="K101" s="117"/>
      <c r="L101" s="116"/>
      <c r="M101" s="118"/>
      <c r="N101" s="96"/>
      <c r="O101" s="96"/>
      <c r="P101" s="97"/>
      <c r="Q101" s="97"/>
      <c r="R101" s="12"/>
      <c r="S101" s="12"/>
      <c r="T101" s="13"/>
      <c r="V101" s="26"/>
    </row>
    <row r="102" spans="2:22" s="7" customFormat="1" ht="49.5" customHeight="1">
      <c r="B102" s="139" t="s">
        <v>130</v>
      </c>
      <c r="C102" s="85">
        <f t="shared" si="12"/>
        <v>4</v>
      </c>
      <c r="D102" s="91" t="s">
        <v>69</v>
      </c>
      <c r="E102" s="80"/>
      <c r="F102" s="80"/>
      <c r="G102" s="80"/>
      <c r="H102" s="134">
        <f t="shared" si="11"/>
        <v>0</v>
      </c>
      <c r="I102" s="115"/>
      <c r="J102" s="116"/>
      <c r="K102" s="117"/>
      <c r="L102" s="116"/>
      <c r="M102" s="118"/>
      <c r="N102" s="96"/>
      <c r="O102" s="96"/>
      <c r="P102" s="97"/>
      <c r="Q102" s="97"/>
      <c r="R102" s="12"/>
      <c r="S102" s="12"/>
      <c r="T102" s="13"/>
      <c r="V102" s="26"/>
    </row>
    <row r="103" spans="2:22" s="7" customFormat="1" ht="49.5" customHeight="1">
      <c r="B103" s="139" t="s">
        <v>130</v>
      </c>
      <c r="C103" s="85">
        <f t="shared" si="12"/>
        <v>5</v>
      </c>
      <c r="D103" s="91" t="s">
        <v>69</v>
      </c>
      <c r="E103" s="80"/>
      <c r="F103" s="80"/>
      <c r="G103" s="80"/>
      <c r="H103" s="134">
        <f t="shared" si="11"/>
        <v>0</v>
      </c>
      <c r="I103" s="115"/>
      <c r="J103" s="116"/>
      <c r="K103" s="117"/>
      <c r="L103" s="116"/>
      <c r="M103" s="118"/>
      <c r="N103" s="96"/>
      <c r="O103" s="96"/>
      <c r="P103" s="97"/>
      <c r="Q103" s="97"/>
      <c r="R103" s="12"/>
      <c r="S103" s="12"/>
      <c r="T103" s="13"/>
      <c r="V103" s="26"/>
    </row>
    <row r="104" spans="2:22" s="7" customFormat="1" ht="49.5" customHeight="1">
      <c r="B104" s="139" t="s">
        <v>130</v>
      </c>
      <c r="C104" s="85">
        <f t="shared" si="12"/>
        <v>6</v>
      </c>
      <c r="D104" s="91" t="s">
        <v>69</v>
      </c>
      <c r="E104" s="80"/>
      <c r="F104" s="80"/>
      <c r="G104" s="80"/>
      <c r="H104" s="134">
        <f t="shared" si="11"/>
        <v>0</v>
      </c>
      <c r="I104" s="115"/>
      <c r="J104" s="116"/>
      <c r="K104" s="117"/>
      <c r="L104" s="116"/>
      <c r="M104" s="118"/>
      <c r="N104" s="96"/>
      <c r="O104" s="96"/>
      <c r="P104" s="97"/>
      <c r="Q104" s="97"/>
      <c r="R104" s="12"/>
      <c r="S104" s="12"/>
      <c r="T104" s="13"/>
      <c r="V104" s="26"/>
    </row>
    <row r="105" spans="2:22" s="7" customFormat="1" ht="49.5" customHeight="1">
      <c r="B105" s="139" t="s">
        <v>130</v>
      </c>
      <c r="C105" s="85">
        <f t="shared" si="12"/>
        <v>7</v>
      </c>
      <c r="D105" s="91" t="s">
        <v>69</v>
      </c>
      <c r="E105" s="80"/>
      <c r="F105" s="80"/>
      <c r="G105" s="80"/>
      <c r="H105" s="134">
        <f t="shared" si="11"/>
        <v>0</v>
      </c>
      <c r="I105" s="115"/>
      <c r="J105" s="116"/>
      <c r="K105" s="117"/>
      <c r="L105" s="116"/>
      <c r="M105" s="118"/>
      <c r="N105" s="96"/>
      <c r="O105" s="96"/>
      <c r="P105" s="97"/>
      <c r="Q105" s="97"/>
      <c r="R105" s="10"/>
      <c r="S105" s="10"/>
      <c r="T105" s="11"/>
      <c r="V105" s="26"/>
    </row>
    <row r="106" spans="2:22" s="7" customFormat="1" ht="49.5" customHeight="1">
      <c r="B106" s="139" t="s">
        <v>130</v>
      </c>
      <c r="C106" s="85">
        <f t="shared" si="12"/>
        <v>8</v>
      </c>
      <c r="D106" s="91" t="s">
        <v>69</v>
      </c>
      <c r="E106" s="80"/>
      <c r="F106" s="80"/>
      <c r="G106" s="80"/>
      <c r="H106" s="134">
        <f t="shared" si="11"/>
        <v>0</v>
      </c>
      <c r="I106" s="115"/>
      <c r="J106" s="116"/>
      <c r="K106" s="117"/>
      <c r="L106" s="116"/>
      <c r="M106" s="118"/>
      <c r="N106" s="96"/>
      <c r="O106" s="96"/>
      <c r="P106" s="97"/>
      <c r="Q106" s="97"/>
      <c r="R106" s="12"/>
      <c r="S106" s="12"/>
      <c r="T106" s="13"/>
      <c r="V106" s="26"/>
    </row>
    <row r="107" spans="2:22" s="7" customFormat="1" ht="49.5" customHeight="1">
      <c r="B107" s="139" t="s">
        <v>130</v>
      </c>
      <c r="C107" s="85">
        <f t="shared" si="12"/>
        <v>9</v>
      </c>
      <c r="D107" s="91" t="s">
        <v>69</v>
      </c>
      <c r="E107" s="80"/>
      <c r="F107" s="80"/>
      <c r="G107" s="80"/>
      <c r="H107" s="134">
        <f t="shared" si="11"/>
        <v>0</v>
      </c>
      <c r="I107" s="115"/>
      <c r="J107" s="116"/>
      <c r="K107" s="117"/>
      <c r="L107" s="116"/>
      <c r="M107" s="118"/>
      <c r="N107" s="96"/>
      <c r="O107" s="96"/>
      <c r="P107" s="97"/>
      <c r="Q107" s="97"/>
      <c r="R107" s="12"/>
      <c r="S107" s="12"/>
      <c r="T107" s="13"/>
      <c r="V107" s="26"/>
    </row>
    <row r="108" spans="2:22" s="7" customFormat="1" ht="49.5" customHeight="1">
      <c r="B108" s="139" t="s">
        <v>130</v>
      </c>
      <c r="C108" s="85">
        <f t="shared" si="12"/>
        <v>10</v>
      </c>
      <c r="D108" s="91" t="s">
        <v>69</v>
      </c>
      <c r="E108" s="80"/>
      <c r="F108" s="80"/>
      <c r="G108" s="80"/>
      <c r="H108" s="134">
        <f t="shared" si="11"/>
        <v>0</v>
      </c>
      <c r="I108" s="115"/>
      <c r="J108" s="116"/>
      <c r="K108" s="117"/>
      <c r="L108" s="116"/>
      <c r="M108" s="118"/>
      <c r="N108" s="96"/>
      <c r="O108" s="96"/>
      <c r="P108" s="97"/>
      <c r="Q108" s="97"/>
      <c r="R108" s="12"/>
      <c r="S108" s="12"/>
      <c r="T108" s="13"/>
      <c r="V108" s="26"/>
    </row>
    <row r="109" spans="2:22" s="7" customFormat="1" ht="49.5" customHeight="1">
      <c r="B109" s="139" t="s">
        <v>130</v>
      </c>
      <c r="C109" s="85">
        <f t="shared" si="12"/>
        <v>11</v>
      </c>
      <c r="D109" s="91" t="s">
        <v>69</v>
      </c>
      <c r="E109" s="80"/>
      <c r="F109" s="80"/>
      <c r="G109" s="80"/>
      <c r="H109" s="134">
        <f t="shared" si="11"/>
        <v>0</v>
      </c>
      <c r="I109" s="115"/>
      <c r="J109" s="116"/>
      <c r="K109" s="117"/>
      <c r="L109" s="116"/>
      <c r="M109" s="118"/>
      <c r="N109" s="96"/>
      <c r="O109" s="96"/>
      <c r="P109" s="97"/>
      <c r="Q109" s="97"/>
      <c r="R109" s="12"/>
      <c r="S109" s="12"/>
      <c r="T109" s="13"/>
      <c r="V109" s="26"/>
    </row>
    <row r="110" spans="2:22" s="7" customFormat="1" ht="49.5" customHeight="1">
      <c r="B110" s="139" t="s">
        <v>130</v>
      </c>
      <c r="C110" s="85">
        <f t="shared" si="12"/>
        <v>12</v>
      </c>
      <c r="D110" s="91" t="s">
        <v>69</v>
      </c>
      <c r="E110" s="80"/>
      <c r="F110" s="80"/>
      <c r="G110" s="80"/>
      <c r="H110" s="134">
        <f t="shared" si="10"/>
        <v>0</v>
      </c>
      <c r="I110" s="115"/>
      <c r="J110" s="116"/>
      <c r="K110" s="117"/>
      <c r="L110" s="116"/>
      <c r="M110" s="118"/>
      <c r="N110" s="96"/>
      <c r="O110" s="96"/>
      <c r="P110" s="97"/>
      <c r="Q110" s="97"/>
      <c r="R110" s="10"/>
      <c r="S110" s="10"/>
      <c r="T110" s="11"/>
      <c r="V110" s="26"/>
    </row>
    <row r="111" spans="2:22" s="7" customFormat="1" ht="49.5" customHeight="1">
      <c r="B111" s="139" t="s">
        <v>130</v>
      </c>
      <c r="C111" s="85">
        <f t="shared" si="12"/>
        <v>13</v>
      </c>
      <c r="D111" s="91" t="s">
        <v>69</v>
      </c>
      <c r="E111" s="80"/>
      <c r="F111" s="80"/>
      <c r="G111" s="80"/>
      <c r="H111" s="134">
        <f t="shared" si="10"/>
        <v>0</v>
      </c>
      <c r="I111" s="115"/>
      <c r="J111" s="116"/>
      <c r="K111" s="117"/>
      <c r="L111" s="116"/>
      <c r="M111" s="118"/>
      <c r="N111" s="96"/>
      <c r="O111" s="96"/>
      <c r="P111" s="97"/>
      <c r="Q111" s="97"/>
      <c r="R111" s="12"/>
      <c r="S111" s="12"/>
      <c r="T111" s="13"/>
      <c r="V111" s="26"/>
    </row>
    <row r="112" spans="2:22" s="7" customFormat="1" ht="49.5" customHeight="1">
      <c r="B112" s="139" t="s">
        <v>130</v>
      </c>
      <c r="C112" s="85">
        <f t="shared" si="12"/>
        <v>14</v>
      </c>
      <c r="D112" s="91" t="s">
        <v>69</v>
      </c>
      <c r="E112" s="80"/>
      <c r="F112" s="80"/>
      <c r="G112" s="80"/>
      <c r="H112" s="134">
        <f t="shared" si="10"/>
        <v>0</v>
      </c>
      <c r="I112" s="115"/>
      <c r="J112" s="116"/>
      <c r="K112" s="117"/>
      <c r="L112" s="116"/>
      <c r="M112" s="118"/>
      <c r="N112" s="96"/>
      <c r="O112" s="96"/>
      <c r="P112" s="97"/>
      <c r="Q112" s="97"/>
      <c r="R112" s="12"/>
      <c r="S112" s="12"/>
      <c r="T112" s="13"/>
      <c r="V112" s="26"/>
    </row>
    <row r="113" spans="2:22" s="7" customFormat="1" ht="49.5" customHeight="1">
      <c r="B113" s="139" t="s">
        <v>130</v>
      </c>
      <c r="C113" s="85">
        <f t="shared" si="12"/>
        <v>15</v>
      </c>
      <c r="D113" s="91" t="s">
        <v>69</v>
      </c>
      <c r="E113" s="80"/>
      <c r="F113" s="80"/>
      <c r="G113" s="80"/>
      <c r="H113" s="134">
        <f t="shared" si="10"/>
        <v>0</v>
      </c>
      <c r="I113" s="115"/>
      <c r="J113" s="116"/>
      <c r="K113" s="117"/>
      <c r="L113" s="116"/>
      <c r="M113" s="118"/>
      <c r="N113" s="96"/>
      <c r="O113" s="96"/>
      <c r="P113" s="97"/>
      <c r="Q113" s="97"/>
      <c r="R113" s="12"/>
      <c r="S113" s="12"/>
      <c r="T113" s="13"/>
      <c r="V113" s="26"/>
    </row>
    <row r="114" spans="2:22" s="7" customFormat="1" ht="49.5" customHeight="1">
      <c r="B114" s="139" t="s">
        <v>130</v>
      </c>
      <c r="C114" s="85">
        <f t="shared" si="12"/>
        <v>16</v>
      </c>
      <c r="D114" s="91" t="s">
        <v>69</v>
      </c>
      <c r="E114" s="80"/>
      <c r="F114" s="80"/>
      <c r="G114" s="80"/>
      <c r="H114" s="134">
        <f t="shared" si="10"/>
        <v>0</v>
      </c>
      <c r="I114" s="115"/>
      <c r="J114" s="116"/>
      <c r="K114" s="117"/>
      <c r="L114" s="116"/>
      <c r="M114" s="118"/>
      <c r="N114" s="96"/>
      <c r="O114" s="96"/>
      <c r="P114" s="97"/>
      <c r="Q114" s="97"/>
      <c r="R114" s="12"/>
      <c r="S114" s="12"/>
      <c r="T114" s="13"/>
      <c r="V114" s="26"/>
    </row>
    <row r="115" spans="2:22" s="7" customFormat="1" ht="49.5" customHeight="1">
      <c r="B115" s="139" t="s">
        <v>130</v>
      </c>
      <c r="C115" s="85">
        <f t="shared" si="12"/>
        <v>17</v>
      </c>
      <c r="D115" s="91" t="s">
        <v>69</v>
      </c>
      <c r="E115" s="80"/>
      <c r="F115" s="80"/>
      <c r="G115" s="80"/>
      <c r="H115" s="134">
        <f t="shared" ref="H115:H119" si="13">IF(L115&lt;=0,I115*J115,I115*J115*L115)</f>
        <v>0</v>
      </c>
      <c r="I115" s="115"/>
      <c r="J115" s="116"/>
      <c r="K115" s="117"/>
      <c r="L115" s="116"/>
      <c r="M115" s="118"/>
      <c r="N115" s="96"/>
      <c r="O115" s="96"/>
      <c r="P115" s="97"/>
      <c r="Q115" s="97"/>
      <c r="R115" s="10"/>
      <c r="S115" s="10"/>
      <c r="T115" s="11"/>
      <c r="V115" s="26"/>
    </row>
    <row r="116" spans="2:22" s="7" customFormat="1" ht="49.5" customHeight="1">
      <c r="B116" s="139" t="s">
        <v>130</v>
      </c>
      <c r="C116" s="85">
        <f t="shared" si="12"/>
        <v>18</v>
      </c>
      <c r="D116" s="91" t="s">
        <v>69</v>
      </c>
      <c r="E116" s="80"/>
      <c r="F116" s="80"/>
      <c r="G116" s="80"/>
      <c r="H116" s="134">
        <f t="shared" si="13"/>
        <v>0</v>
      </c>
      <c r="I116" s="115"/>
      <c r="J116" s="116"/>
      <c r="K116" s="117"/>
      <c r="L116" s="116"/>
      <c r="M116" s="118"/>
      <c r="N116" s="96"/>
      <c r="O116" s="96"/>
      <c r="P116" s="97"/>
      <c r="Q116" s="97"/>
      <c r="R116" s="12"/>
      <c r="S116" s="12"/>
      <c r="T116" s="13"/>
      <c r="V116" s="26"/>
    </row>
    <row r="117" spans="2:22" s="7" customFormat="1" ht="49.5" customHeight="1">
      <c r="B117" s="139" t="s">
        <v>130</v>
      </c>
      <c r="C117" s="85">
        <f t="shared" si="12"/>
        <v>19</v>
      </c>
      <c r="D117" s="91" t="s">
        <v>69</v>
      </c>
      <c r="E117" s="80"/>
      <c r="F117" s="80"/>
      <c r="G117" s="80"/>
      <c r="H117" s="134">
        <f t="shared" si="13"/>
        <v>0</v>
      </c>
      <c r="I117" s="115"/>
      <c r="J117" s="116"/>
      <c r="K117" s="117"/>
      <c r="L117" s="116"/>
      <c r="M117" s="118"/>
      <c r="N117" s="96"/>
      <c r="O117" s="96"/>
      <c r="P117" s="97"/>
      <c r="Q117" s="97"/>
      <c r="R117" s="12"/>
      <c r="S117" s="12"/>
      <c r="T117" s="13"/>
      <c r="V117" s="26"/>
    </row>
    <row r="118" spans="2:22" s="7" customFormat="1" ht="49.5" customHeight="1">
      <c r="B118" s="139" t="s">
        <v>130</v>
      </c>
      <c r="C118" s="85">
        <f t="shared" si="12"/>
        <v>20</v>
      </c>
      <c r="D118" s="91" t="s">
        <v>69</v>
      </c>
      <c r="E118" s="80"/>
      <c r="F118" s="80"/>
      <c r="G118" s="80"/>
      <c r="H118" s="134">
        <f t="shared" si="13"/>
        <v>0</v>
      </c>
      <c r="I118" s="115"/>
      <c r="J118" s="116"/>
      <c r="K118" s="117"/>
      <c r="L118" s="116"/>
      <c r="M118" s="118"/>
      <c r="N118" s="96"/>
      <c r="O118" s="96"/>
      <c r="P118" s="97"/>
      <c r="Q118" s="97"/>
      <c r="R118" s="12"/>
      <c r="S118" s="12"/>
      <c r="T118" s="13"/>
      <c r="V118" s="26"/>
    </row>
    <row r="119" spans="2:22" s="7" customFormat="1" ht="49.5" customHeight="1">
      <c r="B119" s="139" t="s">
        <v>130</v>
      </c>
      <c r="C119" s="85">
        <f t="shared" si="12"/>
        <v>21</v>
      </c>
      <c r="D119" s="91" t="s">
        <v>69</v>
      </c>
      <c r="E119" s="80"/>
      <c r="F119" s="80"/>
      <c r="G119" s="80"/>
      <c r="H119" s="134">
        <f t="shared" si="13"/>
        <v>0</v>
      </c>
      <c r="I119" s="115"/>
      <c r="J119" s="116"/>
      <c r="K119" s="117"/>
      <c r="L119" s="116"/>
      <c r="M119" s="118"/>
      <c r="N119" s="96"/>
      <c r="O119" s="96"/>
      <c r="P119" s="97"/>
      <c r="Q119" s="97"/>
      <c r="R119" s="12"/>
      <c r="S119" s="12"/>
      <c r="T119" s="13"/>
      <c r="V119" s="26"/>
    </row>
    <row r="120" spans="2:22" s="7" customFormat="1" ht="49.5" customHeight="1">
      <c r="B120" s="139" t="s">
        <v>130</v>
      </c>
      <c r="C120" s="85">
        <f t="shared" si="12"/>
        <v>22</v>
      </c>
      <c r="D120" s="91" t="s">
        <v>69</v>
      </c>
      <c r="E120" s="80"/>
      <c r="F120" s="80"/>
      <c r="G120" s="80"/>
      <c r="H120" s="134">
        <f t="shared" ref="H120:H124" si="14">IF(L120&lt;=0,I120*J120,I120*J120*L120)</f>
        <v>0</v>
      </c>
      <c r="I120" s="115"/>
      <c r="J120" s="116"/>
      <c r="K120" s="117"/>
      <c r="L120" s="116"/>
      <c r="M120" s="118"/>
      <c r="N120" s="96"/>
      <c r="O120" s="96"/>
      <c r="P120" s="97"/>
      <c r="Q120" s="97"/>
      <c r="R120" s="10"/>
      <c r="S120" s="10"/>
      <c r="T120" s="11"/>
      <c r="V120" s="26"/>
    </row>
    <row r="121" spans="2:22" s="7" customFormat="1" ht="49.5" customHeight="1">
      <c r="B121" s="139" t="s">
        <v>130</v>
      </c>
      <c r="C121" s="85">
        <f t="shared" si="12"/>
        <v>23</v>
      </c>
      <c r="D121" s="91" t="s">
        <v>69</v>
      </c>
      <c r="E121" s="80"/>
      <c r="F121" s="80"/>
      <c r="G121" s="80"/>
      <c r="H121" s="134">
        <f t="shared" si="14"/>
        <v>0</v>
      </c>
      <c r="I121" s="115"/>
      <c r="J121" s="116"/>
      <c r="K121" s="117"/>
      <c r="L121" s="116"/>
      <c r="M121" s="118"/>
      <c r="N121" s="96"/>
      <c r="O121" s="96"/>
      <c r="P121" s="97"/>
      <c r="Q121" s="97"/>
      <c r="R121" s="12"/>
      <c r="S121" s="12"/>
      <c r="T121" s="13"/>
      <c r="V121" s="26"/>
    </row>
    <row r="122" spans="2:22" s="7" customFormat="1" ht="49.5" customHeight="1">
      <c r="B122" s="139" t="s">
        <v>130</v>
      </c>
      <c r="C122" s="85">
        <f t="shared" si="12"/>
        <v>24</v>
      </c>
      <c r="D122" s="91" t="s">
        <v>69</v>
      </c>
      <c r="E122" s="80"/>
      <c r="F122" s="80"/>
      <c r="G122" s="80"/>
      <c r="H122" s="134">
        <f t="shared" si="14"/>
        <v>0</v>
      </c>
      <c r="I122" s="115"/>
      <c r="J122" s="116"/>
      <c r="K122" s="117"/>
      <c r="L122" s="116"/>
      <c r="M122" s="118"/>
      <c r="N122" s="96"/>
      <c r="O122" s="96"/>
      <c r="P122" s="97"/>
      <c r="Q122" s="97"/>
      <c r="R122" s="12"/>
      <c r="S122" s="12"/>
      <c r="T122" s="13"/>
      <c r="V122" s="26"/>
    </row>
    <row r="123" spans="2:22" s="7" customFormat="1" ht="49.5" customHeight="1">
      <c r="B123" s="139" t="s">
        <v>130</v>
      </c>
      <c r="C123" s="85">
        <f t="shared" si="12"/>
        <v>25</v>
      </c>
      <c r="D123" s="91" t="s">
        <v>69</v>
      </c>
      <c r="E123" s="80"/>
      <c r="F123" s="80"/>
      <c r="G123" s="80"/>
      <c r="H123" s="134">
        <f t="shared" si="14"/>
        <v>0</v>
      </c>
      <c r="I123" s="115"/>
      <c r="J123" s="116"/>
      <c r="K123" s="117"/>
      <c r="L123" s="116"/>
      <c r="M123" s="118"/>
      <c r="N123" s="96"/>
      <c r="O123" s="96"/>
      <c r="P123" s="97"/>
      <c r="Q123" s="97"/>
      <c r="R123" s="12"/>
      <c r="S123" s="12"/>
      <c r="T123" s="13"/>
      <c r="V123" s="26"/>
    </row>
    <row r="124" spans="2:22" s="7" customFormat="1" ht="49.5" customHeight="1">
      <c r="B124" s="139" t="s">
        <v>130</v>
      </c>
      <c r="C124" s="85">
        <f t="shared" si="12"/>
        <v>26</v>
      </c>
      <c r="D124" s="91" t="s">
        <v>69</v>
      </c>
      <c r="E124" s="80"/>
      <c r="F124" s="80"/>
      <c r="G124" s="80"/>
      <c r="H124" s="134">
        <f t="shared" si="14"/>
        <v>0</v>
      </c>
      <c r="I124" s="115"/>
      <c r="J124" s="116"/>
      <c r="K124" s="117"/>
      <c r="L124" s="116"/>
      <c r="M124" s="118"/>
      <c r="N124" s="96"/>
      <c r="O124" s="96"/>
      <c r="P124" s="97"/>
      <c r="Q124" s="97"/>
      <c r="R124" s="12"/>
      <c r="S124" s="12"/>
      <c r="T124" s="13"/>
      <c r="V124" s="26"/>
    </row>
    <row r="125" spans="2:22" s="7" customFormat="1" ht="49.5" customHeight="1">
      <c r="B125" s="139" t="s">
        <v>130</v>
      </c>
      <c r="C125" s="85">
        <f t="shared" si="12"/>
        <v>27</v>
      </c>
      <c r="D125" s="91" t="s">
        <v>69</v>
      </c>
      <c r="E125" s="80"/>
      <c r="F125" s="80"/>
      <c r="G125" s="80"/>
      <c r="H125" s="134">
        <f t="shared" si="10"/>
        <v>0</v>
      </c>
      <c r="I125" s="115"/>
      <c r="J125" s="116"/>
      <c r="K125" s="117"/>
      <c r="L125" s="116"/>
      <c r="M125" s="118"/>
      <c r="N125" s="96"/>
      <c r="O125" s="96"/>
      <c r="P125" s="97"/>
      <c r="Q125" s="97"/>
      <c r="R125" s="12"/>
      <c r="S125" s="12"/>
      <c r="T125" s="13"/>
      <c r="V125" s="26"/>
    </row>
    <row r="126" spans="2:22" s="7" customFormat="1" ht="49.5" customHeight="1">
      <c r="B126" s="139" t="s">
        <v>130</v>
      </c>
      <c r="C126" s="85">
        <f t="shared" si="12"/>
        <v>28</v>
      </c>
      <c r="D126" s="91" t="s">
        <v>69</v>
      </c>
      <c r="E126" s="80"/>
      <c r="F126" s="80"/>
      <c r="G126" s="80"/>
      <c r="H126" s="134">
        <f t="shared" si="10"/>
        <v>0</v>
      </c>
      <c r="I126" s="115"/>
      <c r="J126" s="116"/>
      <c r="K126" s="117"/>
      <c r="L126" s="116"/>
      <c r="M126" s="118"/>
      <c r="N126" s="96"/>
      <c r="O126" s="96"/>
      <c r="P126" s="97"/>
      <c r="Q126" s="97"/>
      <c r="R126" s="12"/>
      <c r="S126" s="12"/>
      <c r="T126" s="13"/>
      <c r="V126" s="26"/>
    </row>
    <row r="127" spans="2:22" s="7" customFormat="1" ht="49.5" customHeight="1">
      <c r="B127" s="139" t="s">
        <v>130</v>
      </c>
      <c r="C127" s="85">
        <f t="shared" si="12"/>
        <v>29</v>
      </c>
      <c r="D127" s="91" t="s">
        <v>69</v>
      </c>
      <c r="E127" s="80"/>
      <c r="F127" s="80"/>
      <c r="G127" s="80"/>
      <c r="H127" s="134">
        <f t="shared" si="10"/>
        <v>0</v>
      </c>
      <c r="I127" s="115"/>
      <c r="J127" s="116"/>
      <c r="K127" s="117"/>
      <c r="L127" s="116"/>
      <c r="M127" s="118"/>
      <c r="N127" s="96"/>
      <c r="O127" s="96"/>
      <c r="P127" s="97"/>
      <c r="Q127" s="97"/>
      <c r="R127" s="10"/>
      <c r="S127" s="10"/>
      <c r="T127" s="11"/>
      <c r="V127" s="26"/>
    </row>
    <row r="128" spans="2:22" s="7" customFormat="1" ht="49.5" customHeight="1" thickBot="1">
      <c r="B128" s="140" t="s">
        <v>130</v>
      </c>
      <c r="C128" s="83">
        <f t="shared" si="12"/>
        <v>30</v>
      </c>
      <c r="D128" s="29" t="s">
        <v>69</v>
      </c>
      <c r="E128" s="82"/>
      <c r="F128" s="82"/>
      <c r="G128" s="82"/>
      <c r="H128" s="25">
        <f t="shared" si="10"/>
        <v>0</v>
      </c>
      <c r="I128" s="119"/>
      <c r="J128" s="120"/>
      <c r="K128" s="121"/>
      <c r="L128" s="120"/>
      <c r="M128" s="122"/>
      <c r="N128" s="98"/>
      <c r="O128" s="98"/>
      <c r="P128" s="99"/>
      <c r="Q128" s="99"/>
      <c r="R128" s="12"/>
      <c r="S128" s="12"/>
      <c r="T128" s="13"/>
      <c r="V128" s="26"/>
    </row>
    <row r="129" spans="2:22" s="7" customFormat="1" ht="49.5" customHeight="1" thickTop="1" thickBot="1">
      <c r="B129" s="141" t="s">
        <v>68</v>
      </c>
      <c r="C129" s="17"/>
      <c r="D129" s="92"/>
      <c r="E129" s="137"/>
      <c r="F129" s="137"/>
      <c r="G129" s="137"/>
      <c r="H129" s="18">
        <f>SUM(H99:H128)</f>
        <v>0</v>
      </c>
      <c r="I129" s="123"/>
      <c r="J129" s="124"/>
      <c r="K129" s="124"/>
      <c r="L129" s="124"/>
      <c r="M129" s="124"/>
      <c r="N129" s="100"/>
      <c r="O129" s="100"/>
      <c r="P129" s="101"/>
      <c r="Q129" s="101"/>
      <c r="R129" s="8"/>
      <c r="S129" s="8"/>
      <c r="T129" s="9"/>
    </row>
    <row r="130" spans="2:22" s="7" customFormat="1" ht="49.5" customHeight="1" thickTop="1">
      <c r="B130" s="142" t="s">
        <v>132</v>
      </c>
      <c r="C130" s="84">
        <v>1</v>
      </c>
      <c r="D130" s="28" t="s">
        <v>76</v>
      </c>
      <c r="E130" s="79"/>
      <c r="F130" s="79"/>
      <c r="G130" s="79"/>
      <c r="H130" s="136">
        <f t="shared" ref="H130:H159" si="15">IF(L130&lt;=0,I130*J130,I130*J130*L130)</f>
        <v>0</v>
      </c>
      <c r="I130" s="110"/>
      <c r="J130" s="111"/>
      <c r="K130" s="112"/>
      <c r="L130" s="113"/>
      <c r="M130" s="114"/>
      <c r="N130" s="94"/>
      <c r="O130" s="94"/>
      <c r="P130" s="95"/>
      <c r="Q130" s="95"/>
      <c r="R130" s="8"/>
      <c r="S130" s="8"/>
      <c r="T130" s="9"/>
      <c r="V130" s="26"/>
    </row>
    <row r="131" spans="2:22" s="7" customFormat="1" ht="49.5" customHeight="1">
      <c r="B131" s="139" t="s">
        <v>132</v>
      </c>
      <c r="C131" s="85">
        <f>C130+1</f>
        <v>2</v>
      </c>
      <c r="D131" s="91" t="s">
        <v>76</v>
      </c>
      <c r="E131" s="80"/>
      <c r="F131" s="80"/>
      <c r="G131" s="80"/>
      <c r="H131" s="134">
        <f t="shared" ref="H131:H140" si="16">IF(L131&lt;=0,I131*J131,I131*J131*L131)</f>
        <v>0</v>
      </c>
      <c r="I131" s="115"/>
      <c r="J131" s="116"/>
      <c r="K131" s="117"/>
      <c r="L131" s="116"/>
      <c r="M131" s="118"/>
      <c r="N131" s="96"/>
      <c r="O131" s="96"/>
      <c r="P131" s="97"/>
      <c r="Q131" s="97"/>
      <c r="R131" s="10"/>
      <c r="S131" s="10"/>
      <c r="T131" s="11"/>
      <c r="V131" s="26"/>
    </row>
    <row r="132" spans="2:22" s="7" customFormat="1" ht="49.5" customHeight="1">
      <c r="B132" s="139" t="s">
        <v>132</v>
      </c>
      <c r="C132" s="85">
        <f t="shared" ref="C132:C159" si="17">C131+1</f>
        <v>3</v>
      </c>
      <c r="D132" s="91" t="s">
        <v>76</v>
      </c>
      <c r="E132" s="80"/>
      <c r="F132" s="80"/>
      <c r="G132" s="80"/>
      <c r="H132" s="134">
        <f t="shared" si="16"/>
        <v>0</v>
      </c>
      <c r="I132" s="115"/>
      <c r="J132" s="116"/>
      <c r="K132" s="117"/>
      <c r="L132" s="116"/>
      <c r="M132" s="118"/>
      <c r="N132" s="96"/>
      <c r="O132" s="96"/>
      <c r="P132" s="97"/>
      <c r="Q132" s="97"/>
      <c r="R132" s="12"/>
      <c r="S132" s="12"/>
      <c r="T132" s="13"/>
      <c r="V132" s="26"/>
    </row>
    <row r="133" spans="2:22" s="7" customFormat="1" ht="49.5" customHeight="1">
      <c r="B133" s="139" t="s">
        <v>132</v>
      </c>
      <c r="C133" s="85">
        <f t="shared" si="17"/>
        <v>4</v>
      </c>
      <c r="D133" s="91" t="s">
        <v>76</v>
      </c>
      <c r="E133" s="80"/>
      <c r="F133" s="80"/>
      <c r="G133" s="80"/>
      <c r="H133" s="134">
        <f t="shared" si="16"/>
        <v>0</v>
      </c>
      <c r="I133" s="115"/>
      <c r="J133" s="116"/>
      <c r="K133" s="117"/>
      <c r="L133" s="116"/>
      <c r="M133" s="118"/>
      <c r="N133" s="96"/>
      <c r="O133" s="96"/>
      <c r="P133" s="97"/>
      <c r="Q133" s="97"/>
      <c r="R133" s="12"/>
      <c r="S133" s="12"/>
      <c r="T133" s="13"/>
      <c r="V133" s="26"/>
    </row>
    <row r="134" spans="2:22" s="7" customFormat="1" ht="49.5" customHeight="1">
      <c r="B134" s="139" t="s">
        <v>132</v>
      </c>
      <c r="C134" s="85">
        <f t="shared" si="17"/>
        <v>5</v>
      </c>
      <c r="D134" s="91" t="s">
        <v>76</v>
      </c>
      <c r="E134" s="80"/>
      <c r="F134" s="80"/>
      <c r="G134" s="80"/>
      <c r="H134" s="134">
        <f t="shared" si="16"/>
        <v>0</v>
      </c>
      <c r="I134" s="115"/>
      <c r="J134" s="116"/>
      <c r="K134" s="117"/>
      <c r="L134" s="116"/>
      <c r="M134" s="118"/>
      <c r="N134" s="96"/>
      <c r="O134" s="96"/>
      <c r="P134" s="97"/>
      <c r="Q134" s="97"/>
      <c r="R134" s="12"/>
      <c r="S134" s="12"/>
      <c r="T134" s="13"/>
      <c r="V134" s="26"/>
    </row>
    <row r="135" spans="2:22" s="7" customFormat="1" ht="49.5" customHeight="1">
      <c r="B135" s="139" t="s">
        <v>132</v>
      </c>
      <c r="C135" s="85">
        <f t="shared" si="17"/>
        <v>6</v>
      </c>
      <c r="D135" s="91" t="s">
        <v>76</v>
      </c>
      <c r="E135" s="80"/>
      <c r="F135" s="80"/>
      <c r="G135" s="80"/>
      <c r="H135" s="134">
        <f t="shared" si="16"/>
        <v>0</v>
      </c>
      <c r="I135" s="115"/>
      <c r="J135" s="116"/>
      <c r="K135" s="117"/>
      <c r="L135" s="116"/>
      <c r="M135" s="118"/>
      <c r="N135" s="96"/>
      <c r="O135" s="96"/>
      <c r="P135" s="97"/>
      <c r="Q135" s="97"/>
      <c r="R135" s="12"/>
      <c r="S135" s="12"/>
      <c r="T135" s="13"/>
      <c r="V135" s="26"/>
    </row>
    <row r="136" spans="2:22" s="7" customFormat="1" ht="49.5" customHeight="1">
      <c r="B136" s="139" t="s">
        <v>132</v>
      </c>
      <c r="C136" s="85">
        <f t="shared" si="17"/>
        <v>7</v>
      </c>
      <c r="D136" s="91" t="s">
        <v>76</v>
      </c>
      <c r="E136" s="80"/>
      <c r="F136" s="80"/>
      <c r="G136" s="80"/>
      <c r="H136" s="134">
        <f t="shared" si="16"/>
        <v>0</v>
      </c>
      <c r="I136" s="115"/>
      <c r="J136" s="116"/>
      <c r="K136" s="117"/>
      <c r="L136" s="116"/>
      <c r="M136" s="118"/>
      <c r="N136" s="96"/>
      <c r="O136" s="96"/>
      <c r="P136" s="97"/>
      <c r="Q136" s="97"/>
      <c r="R136" s="10"/>
      <c r="S136" s="10"/>
      <c r="T136" s="11"/>
      <c r="V136" s="26"/>
    </row>
    <row r="137" spans="2:22" s="7" customFormat="1" ht="49.5" customHeight="1">
      <c r="B137" s="139" t="s">
        <v>132</v>
      </c>
      <c r="C137" s="85">
        <f t="shared" si="17"/>
        <v>8</v>
      </c>
      <c r="D137" s="91" t="s">
        <v>76</v>
      </c>
      <c r="E137" s="80"/>
      <c r="F137" s="80"/>
      <c r="G137" s="80"/>
      <c r="H137" s="134">
        <f t="shared" si="16"/>
        <v>0</v>
      </c>
      <c r="I137" s="115"/>
      <c r="J137" s="116"/>
      <c r="K137" s="117"/>
      <c r="L137" s="116"/>
      <c r="M137" s="118"/>
      <c r="N137" s="96"/>
      <c r="O137" s="96"/>
      <c r="P137" s="97"/>
      <c r="Q137" s="97"/>
      <c r="R137" s="12"/>
      <c r="S137" s="12"/>
      <c r="T137" s="13"/>
      <c r="V137" s="26"/>
    </row>
    <row r="138" spans="2:22" s="7" customFormat="1" ht="49.5" customHeight="1">
      <c r="B138" s="139" t="s">
        <v>132</v>
      </c>
      <c r="C138" s="85">
        <f t="shared" si="17"/>
        <v>9</v>
      </c>
      <c r="D138" s="91" t="s">
        <v>76</v>
      </c>
      <c r="E138" s="80"/>
      <c r="F138" s="80"/>
      <c r="G138" s="80"/>
      <c r="H138" s="134">
        <f t="shared" si="16"/>
        <v>0</v>
      </c>
      <c r="I138" s="115"/>
      <c r="J138" s="116"/>
      <c r="K138" s="117"/>
      <c r="L138" s="116"/>
      <c r="M138" s="118"/>
      <c r="N138" s="96"/>
      <c r="O138" s="96"/>
      <c r="P138" s="97"/>
      <c r="Q138" s="97"/>
      <c r="R138" s="12"/>
      <c r="S138" s="12"/>
      <c r="T138" s="13"/>
      <c r="V138" s="26"/>
    </row>
    <row r="139" spans="2:22" s="7" customFormat="1" ht="49.5" customHeight="1">
      <c r="B139" s="139" t="s">
        <v>132</v>
      </c>
      <c r="C139" s="85">
        <f t="shared" si="17"/>
        <v>10</v>
      </c>
      <c r="D139" s="91" t="s">
        <v>76</v>
      </c>
      <c r="E139" s="80"/>
      <c r="F139" s="80"/>
      <c r="G139" s="80"/>
      <c r="H139" s="134">
        <f t="shared" si="16"/>
        <v>0</v>
      </c>
      <c r="I139" s="115"/>
      <c r="J139" s="116"/>
      <c r="K139" s="117"/>
      <c r="L139" s="116"/>
      <c r="M139" s="118"/>
      <c r="N139" s="96"/>
      <c r="O139" s="96"/>
      <c r="P139" s="97"/>
      <c r="Q139" s="97"/>
      <c r="R139" s="12"/>
      <c r="S139" s="12"/>
      <c r="T139" s="13"/>
      <c r="V139" s="26"/>
    </row>
    <row r="140" spans="2:22" s="7" customFormat="1" ht="49.5" customHeight="1">
      <c r="B140" s="139" t="s">
        <v>132</v>
      </c>
      <c r="C140" s="85">
        <f t="shared" si="17"/>
        <v>11</v>
      </c>
      <c r="D140" s="91" t="s">
        <v>76</v>
      </c>
      <c r="E140" s="80"/>
      <c r="F140" s="80"/>
      <c r="G140" s="80"/>
      <c r="H140" s="134">
        <f t="shared" si="16"/>
        <v>0</v>
      </c>
      <c r="I140" s="115"/>
      <c r="J140" s="116"/>
      <c r="K140" s="117"/>
      <c r="L140" s="116"/>
      <c r="M140" s="118"/>
      <c r="N140" s="96"/>
      <c r="O140" s="96"/>
      <c r="P140" s="97"/>
      <c r="Q140" s="97"/>
      <c r="R140" s="12"/>
      <c r="S140" s="12"/>
      <c r="T140" s="13"/>
      <c r="V140" s="26"/>
    </row>
    <row r="141" spans="2:22" s="7" customFormat="1" ht="49.5" customHeight="1">
      <c r="B141" s="139" t="s">
        <v>132</v>
      </c>
      <c r="C141" s="85">
        <f t="shared" si="17"/>
        <v>12</v>
      </c>
      <c r="D141" s="91" t="s">
        <v>76</v>
      </c>
      <c r="E141" s="80"/>
      <c r="F141" s="80"/>
      <c r="G141" s="80"/>
      <c r="H141" s="134">
        <f t="shared" si="15"/>
        <v>0</v>
      </c>
      <c r="I141" s="115"/>
      <c r="J141" s="116"/>
      <c r="K141" s="117"/>
      <c r="L141" s="116"/>
      <c r="M141" s="118"/>
      <c r="N141" s="96"/>
      <c r="O141" s="96"/>
      <c r="P141" s="97"/>
      <c r="Q141" s="97"/>
      <c r="R141" s="10"/>
      <c r="S141" s="10"/>
      <c r="T141" s="11"/>
      <c r="V141" s="26"/>
    </row>
    <row r="142" spans="2:22" s="7" customFormat="1" ht="49.5" customHeight="1">
      <c r="B142" s="139" t="s">
        <v>132</v>
      </c>
      <c r="C142" s="85">
        <f t="shared" si="17"/>
        <v>13</v>
      </c>
      <c r="D142" s="91" t="s">
        <v>76</v>
      </c>
      <c r="E142" s="80"/>
      <c r="F142" s="80"/>
      <c r="G142" s="80"/>
      <c r="H142" s="134">
        <f t="shared" si="15"/>
        <v>0</v>
      </c>
      <c r="I142" s="115"/>
      <c r="J142" s="116"/>
      <c r="K142" s="117"/>
      <c r="L142" s="116"/>
      <c r="M142" s="118"/>
      <c r="N142" s="96"/>
      <c r="O142" s="96"/>
      <c r="P142" s="97"/>
      <c r="Q142" s="97"/>
      <c r="R142" s="12"/>
      <c r="S142" s="12"/>
      <c r="T142" s="13"/>
      <c r="V142" s="26"/>
    </row>
    <row r="143" spans="2:22" s="7" customFormat="1" ht="49.5" customHeight="1">
      <c r="B143" s="139" t="s">
        <v>132</v>
      </c>
      <c r="C143" s="85">
        <f t="shared" si="17"/>
        <v>14</v>
      </c>
      <c r="D143" s="91" t="s">
        <v>76</v>
      </c>
      <c r="E143" s="80"/>
      <c r="F143" s="80"/>
      <c r="G143" s="80"/>
      <c r="H143" s="134">
        <f t="shared" si="15"/>
        <v>0</v>
      </c>
      <c r="I143" s="115"/>
      <c r="J143" s="116"/>
      <c r="K143" s="117"/>
      <c r="L143" s="116"/>
      <c r="M143" s="118"/>
      <c r="N143" s="96"/>
      <c r="O143" s="96"/>
      <c r="P143" s="97"/>
      <c r="Q143" s="97"/>
      <c r="R143" s="12"/>
      <c r="S143" s="12"/>
      <c r="T143" s="13"/>
      <c r="V143" s="26"/>
    </row>
    <row r="144" spans="2:22" s="7" customFormat="1" ht="49.5" customHeight="1">
      <c r="B144" s="139" t="s">
        <v>132</v>
      </c>
      <c r="C144" s="85">
        <f t="shared" si="17"/>
        <v>15</v>
      </c>
      <c r="D144" s="91" t="s">
        <v>76</v>
      </c>
      <c r="E144" s="80"/>
      <c r="F144" s="80"/>
      <c r="G144" s="80"/>
      <c r="H144" s="134">
        <f t="shared" si="15"/>
        <v>0</v>
      </c>
      <c r="I144" s="115"/>
      <c r="J144" s="116"/>
      <c r="K144" s="117"/>
      <c r="L144" s="116"/>
      <c r="M144" s="118"/>
      <c r="N144" s="96"/>
      <c r="O144" s="96"/>
      <c r="P144" s="97"/>
      <c r="Q144" s="97"/>
      <c r="R144" s="12"/>
      <c r="S144" s="12"/>
      <c r="T144" s="13"/>
      <c r="V144" s="26"/>
    </row>
    <row r="145" spans="2:22" s="7" customFormat="1" ht="49.5" customHeight="1">
      <c r="B145" s="139" t="s">
        <v>132</v>
      </c>
      <c r="C145" s="85">
        <f t="shared" si="17"/>
        <v>16</v>
      </c>
      <c r="D145" s="91" t="s">
        <v>76</v>
      </c>
      <c r="E145" s="80"/>
      <c r="F145" s="80"/>
      <c r="G145" s="80"/>
      <c r="H145" s="134">
        <f t="shared" si="15"/>
        <v>0</v>
      </c>
      <c r="I145" s="115"/>
      <c r="J145" s="116"/>
      <c r="K145" s="117"/>
      <c r="L145" s="116"/>
      <c r="M145" s="118"/>
      <c r="N145" s="96"/>
      <c r="O145" s="96"/>
      <c r="P145" s="97"/>
      <c r="Q145" s="97"/>
      <c r="R145" s="12"/>
      <c r="S145" s="12"/>
      <c r="T145" s="13"/>
      <c r="V145" s="26"/>
    </row>
    <row r="146" spans="2:22" s="7" customFormat="1" ht="49.5" customHeight="1">
      <c r="B146" s="139" t="s">
        <v>132</v>
      </c>
      <c r="C146" s="85">
        <f t="shared" si="17"/>
        <v>17</v>
      </c>
      <c r="D146" s="91" t="s">
        <v>76</v>
      </c>
      <c r="E146" s="80"/>
      <c r="F146" s="80"/>
      <c r="G146" s="80"/>
      <c r="H146" s="134">
        <f t="shared" ref="H146:H150" si="18">IF(L146&lt;=0,I146*J146,I146*J146*L146)</f>
        <v>0</v>
      </c>
      <c r="I146" s="115"/>
      <c r="J146" s="116"/>
      <c r="K146" s="117"/>
      <c r="L146" s="116"/>
      <c r="M146" s="118"/>
      <c r="N146" s="96"/>
      <c r="O146" s="96"/>
      <c r="P146" s="97"/>
      <c r="Q146" s="97"/>
      <c r="R146" s="10"/>
      <c r="S146" s="10"/>
      <c r="T146" s="11"/>
      <c r="V146" s="26"/>
    </row>
    <row r="147" spans="2:22" s="7" customFormat="1" ht="49.5" customHeight="1">
      <c r="B147" s="139" t="s">
        <v>132</v>
      </c>
      <c r="C147" s="85">
        <f t="shared" si="17"/>
        <v>18</v>
      </c>
      <c r="D147" s="91" t="s">
        <v>76</v>
      </c>
      <c r="E147" s="80"/>
      <c r="F147" s="80"/>
      <c r="G147" s="80"/>
      <c r="H147" s="134">
        <f t="shared" si="18"/>
        <v>0</v>
      </c>
      <c r="I147" s="115"/>
      <c r="J147" s="116"/>
      <c r="K147" s="117"/>
      <c r="L147" s="116"/>
      <c r="M147" s="118"/>
      <c r="N147" s="96"/>
      <c r="O147" s="96"/>
      <c r="P147" s="97"/>
      <c r="Q147" s="97"/>
      <c r="R147" s="12"/>
      <c r="S147" s="12"/>
      <c r="T147" s="13"/>
      <c r="V147" s="26"/>
    </row>
    <row r="148" spans="2:22" s="7" customFormat="1" ht="49.5" customHeight="1">
      <c r="B148" s="139" t="s">
        <v>132</v>
      </c>
      <c r="C148" s="85">
        <f t="shared" si="17"/>
        <v>19</v>
      </c>
      <c r="D148" s="91" t="s">
        <v>76</v>
      </c>
      <c r="E148" s="80"/>
      <c r="F148" s="80"/>
      <c r="G148" s="80"/>
      <c r="H148" s="134">
        <f t="shared" si="18"/>
        <v>0</v>
      </c>
      <c r="I148" s="115"/>
      <c r="J148" s="116"/>
      <c r="K148" s="117"/>
      <c r="L148" s="116"/>
      <c r="M148" s="118"/>
      <c r="N148" s="96"/>
      <c r="O148" s="96"/>
      <c r="P148" s="97"/>
      <c r="Q148" s="97"/>
      <c r="R148" s="12"/>
      <c r="S148" s="12"/>
      <c r="T148" s="13"/>
      <c r="V148" s="26"/>
    </row>
    <row r="149" spans="2:22" s="7" customFormat="1" ht="49.5" customHeight="1">
      <c r="B149" s="139" t="s">
        <v>132</v>
      </c>
      <c r="C149" s="85">
        <f t="shared" si="17"/>
        <v>20</v>
      </c>
      <c r="D149" s="91" t="s">
        <v>76</v>
      </c>
      <c r="E149" s="80"/>
      <c r="F149" s="80"/>
      <c r="G149" s="80"/>
      <c r="H149" s="134">
        <f t="shared" si="18"/>
        <v>0</v>
      </c>
      <c r="I149" s="115"/>
      <c r="J149" s="116"/>
      <c r="K149" s="117"/>
      <c r="L149" s="116"/>
      <c r="M149" s="118"/>
      <c r="N149" s="96"/>
      <c r="O149" s="96"/>
      <c r="P149" s="97"/>
      <c r="Q149" s="97"/>
      <c r="R149" s="12"/>
      <c r="S149" s="12"/>
      <c r="T149" s="13"/>
      <c r="V149" s="26"/>
    </row>
    <row r="150" spans="2:22" s="7" customFormat="1" ht="49.5" customHeight="1">
      <c r="B150" s="139" t="s">
        <v>132</v>
      </c>
      <c r="C150" s="85">
        <f t="shared" si="17"/>
        <v>21</v>
      </c>
      <c r="D150" s="91" t="s">
        <v>76</v>
      </c>
      <c r="E150" s="80"/>
      <c r="F150" s="80"/>
      <c r="G150" s="80"/>
      <c r="H150" s="134">
        <f t="shared" si="18"/>
        <v>0</v>
      </c>
      <c r="I150" s="115"/>
      <c r="J150" s="116"/>
      <c r="K150" s="117"/>
      <c r="L150" s="116"/>
      <c r="M150" s="118"/>
      <c r="N150" s="96"/>
      <c r="O150" s="96"/>
      <c r="P150" s="97"/>
      <c r="Q150" s="97"/>
      <c r="R150" s="12"/>
      <c r="S150" s="12"/>
      <c r="T150" s="13"/>
      <c r="V150" s="26"/>
    </row>
    <row r="151" spans="2:22" s="7" customFormat="1" ht="49.5" customHeight="1">
      <c r="B151" s="139" t="s">
        <v>132</v>
      </c>
      <c r="C151" s="85">
        <f t="shared" si="17"/>
        <v>22</v>
      </c>
      <c r="D151" s="91" t="s">
        <v>76</v>
      </c>
      <c r="E151" s="80"/>
      <c r="F151" s="80"/>
      <c r="G151" s="80"/>
      <c r="H151" s="134">
        <f t="shared" si="15"/>
        <v>0</v>
      </c>
      <c r="I151" s="115"/>
      <c r="J151" s="116"/>
      <c r="K151" s="117"/>
      <c r="L151" s="116"/>
      <c r="M151" s="118"/>
      <c r="N151" s="96"/>
      <c r="O151" s="96"/>
      <c r="P151" s="97"/>
      <c r="Q151" s="97"/>
      <c r="R151" s="10"/>
      <c r="S151" s="10"/>
      <c r="T151" s="11"/>
      <c r="V151" s="26"/>
    </row>
    <row r="152" spans="2:22" s="7" customFormat="1" ht="49.5" customHeight="1">
      <c r="B152" s="139" t="s">
        <v>132</v>
      </c>
      <c r="C152" s="85">
        <f t="shared" si="17"/>
        <v>23</v>
      </c>
      <c r="D152" s="91" t="s">
        <v>76</v>
      </c>
      <c r="E152" s="80"/>
      <c r="F152" s="80"/>
      <c r="G152" s="80"/>
      <c r="H152" s="134">
        <f t="shared" si="15"/>
        <v>0</v>
      </c>
      <c r="I152" s="115"/>
      <c r="J152" s="116"/>
      <c r="K152" s="117"/>
      <c r="L152" s="116"/>
      <c r="M152" s="118"/>
      <c r="N152" s="96"/>
      <c r="O152" s="96"/>
      <c r="P152" s="97"/>
      <c r="Q152" s="97"/>
      <c r="R152" s="12"/>
      <c r="S152" s="12"/>
      <c r="T152" s="13"/>
      <c r="V152" s="26"/>
    </row>
    <row r="153" spans="2:22" s="7" customFormat="1" ht="49.5" customHeight="1">
      <c r="B153" s="139" t="s">
        <v>132</v>
      </c>
      <c r="C153" s="85">
        <f t="shared" si="17"/>
        <v>24</v>
      </c>
      <c r="D153" s="91" t="s">
        <v>76</v>
      </c>
      <c r="E153" s="80"/>
      <c r="F153" s="80"/>
      <c r="G153" s="80"/>
      <c r="H153" s="134">
        <f t="shared" si="15"/>
        <v>0</v>
      </c>
      <c r="I153" s="115"/>
      <c r="J153" s="116"/>
      <c r="K153" s="117"/>
      <c r="L153" s="116"/>
      <c r="M153" s="118"/>
      <c r="N153" s="96"/>
      <c r="O153" s="96"/>
      <c r="P153" s="97"/>
      <c r="Q153" s="97"/>
      <c r="R153" s="12"/>
      <c r="S153" s="12"/>
      <c r="T153" s="13"/>
      <c r="V153" s="26"/>
    </row>
    <row r="154" spans="2:22" s="7" customFormat="1" ht="49.5" customHeight="1">
      <c r="B154" s="139" t="s">
        <v>132</v>
      </c>
      <c r="C154" s="85">
        <f t="shared" si="17"/>
        <v>25</v>
      </c>
      <c r="D154" s="91" t="s">
        <v>76</v>
      </c>
      <c r="E154" s="80"/>
      <c r="F154" s="80"/>
      <c r="G154" s="80"/>
      <c r="H154" s="134">
        <f t="shared" si="15"/>
        <v>0</v>
      </c>
      <c r="I154" s="115"/>
      <c r="J154" s="116"/>
      <c r="K154" s="117"/>
      <c r="L154" s="116"/>
      <c r="M154" s="118"/>
      <c r="N154" s="96"/>
      <c r="O154" s="96"/>
      <c r="P154" s="97"/>
      <c r="Q154" s="97"/>
      <c r="R154" s="12"/>
      <c r="S154" s="12"/>
      <c r="T154" s="13"/>
      <c r="V154" s="26"/>
    </row>
    <row r="155" spans="2:22" s="7" customFormat="1" ht="49.5" customHeight="1">
      <c r="B155" s="139" t="s">
        <v>132</v>
      </c>
      <c r="C155" s="85">
        <f t="shared" si="17"/>
        <v>26</v>
      </c>
      <c r="D155" s="91" t="s">
        <v>76</v>
      </c>
      <c r="E155" s="80"/>
      <c r="F155" s="80"/>
      <c r="G155" s="80"/>
      <c r="H155" s="134">
        <f t="shared" si="15"/>
        <v>0</v>
      </c>
      <c r="I155" s="115"/>
      <c r="J155" s="116"/>
      <c r="K155" s="117"/>
      <c r="L155" s="116"/>
      <c r="M155" s="118"/>
      <c r="N155" s="96"/>
      <c r="O155" s="96"/>
      <c r="P155" s="97"/>
      <c r="Q155" s="97"/>
      <c r="R155" s="12"/>
      <c r="S155" s="12"/>
      <c r="T155" s="13"/>
      <c r="V155" s="26"/>
    </row>
    <row r="156" spans="2:22" s="7" customFormat="1" ht="49.5" customHeight="1">
      <c r="B156" s="139" t="s">
        <v>132</v>
      </c>
      <c r="C156" s="85">
        <f t="shared" si="17"/>
        <v>27</v>
      </c>
      <c r="D156" s="91" t="s">
        <v>76</v>
      </c>
      <c r="E156" s="80"/>
      <c r="F156" s="80"/>
      <c r="G156" s="80"/>
      <c r="H156" s="134">
        <f t="shared" si="15"/>
        <v>0</v>
      </c>
      <c r="I156" s="115"/>
      <c r="J156" s="116"/>
      <c r="K156" s="117"/>
      <c r="L156" s="116"/>
      <c r="M156" s="118"/>
      <c r="N156" s="96"/>
      <c r="O156" s="96"/>
      <c r="P156" s="97"/>
      <c r="Q156" s="97"/>
      <c r="R156" s="12"/>
      <c r="S156" s="12"/>
      <c r="T156" s="13"/>
      <c r="V156" s="26"/>
    </row>
    <row r="157" spans="2:22" s="7" customFormat="1" ht="49.5" customHeight="1">
      <c r="B157" s="139" t="s">
        <v>132</v>
      </c>
      <c r="C157" s="85">
        <f t="shared" si="17"/>
        <v>28</v>
      </c>
      <c r="D157" s="91" t="s">
        <v>76</v>
      </c>
      <c r="E157" s="80"/>
      <c r="F157" s="80"/>
      <c r="G157" s="80"/>
      <c r="H157" s="134">
        <f t="shared" si="15"/>
        <v>0</v>
      </c>
      <c r="I157" s="115"/>
      <c r="J157" s="116"/>
      <c r="K157" s="117"/>
      <c r="L157" s="116"/>
      <c r="M157" s="118"/>
      <c r="N157" s="96"/>
      <c r="O157" s="96"/>
      <c r="P157" s="97"/>
      <c r="Q157" s="97"/>
      <c r="R157" s="12"/>
      <c r="S157" s="12"/>
      <c r="T157" s="13"/>
      <c r="V157" s="26"/>
    </row>
    <row r="158" spans="2:22" s="7" customFormat="1" ht="49.5" customHeight="1">
      <c r="B158" s="139" t="s">
        <v>132</v>
      </c>
      <c r="C158" s="85">
        <f t="shared" si="17"/>
        <v>29</v>
      </c>
      <c r="D158" s="91" t="s">
        <v>76</v>
      </c>
      <c r="E158" s="80"/>
      <c r="F158" s="80"/>
      <c r="G158" s="80"/>
      <c r="H158" s="134">
        <f t="shared" si="15"/>
        <v>0</v>
      </c>
      <c r="I158" s="115"/>
      <c r="J158" s="116"/>
      <c r="K158" s="117"/>
      <c r="L158" s="116"/>
      <c r="M158" s="118"/>
      <c r="N158" s="96"/>
      <c r="O158" s="96"/>
      <c r="P158" s="97"/>
      <c r="Q158" s="97"/>
      <c r="R158" s="10"/>
      <c r="S158" s="10"/>
      <c r="T158" s="11"/>
      <c r="V158" s="26"/>
    </row>
    <row r="159" spans="2:22" s="7" customFormat="1" ht="49.5" customHeight="1" thickBot="1">
      <c r="B159" s="140" t="s">
        <v>132</v>
      </c>
      <c r="C159" s="83">
        <f t="shared" si="17"/>
        <v>30</v>
      </c>
      <c r="D159" s="29" t="s">
        <v>76</v>
      </c>
      <c r="E159" s="82"/>
      <c r="F159" s="82"/>
      <c r="G159" s="82"/>
      <c r="H159" s="25">
        <f t="shared" si="15"/>
        <v>0</v>
      </c>
      <c r="I159" s="119"/>
      <c r="J159" s="120"/>
      <c r="K159" s="121"/>
      <c r="L159" s="120"/>
      <c r="M159" s="122"/>
      <c r="N159" s="98"/>
      <c r="O159" s="98"/>
      <c r="P159" s="99"/>
      <c r="Q159" s="99"/>
      <c r="R159" s="12"/>
      <c r="S159" s="12"/>
      <c r="T159" s="13"/>
      <c r="V159" s="26"/>
    </row>
    <row r="160" spans="2:22" s="7" customFormat="1" ht="49.5" customHeight="1" thickTop="1" thickBot="1">
      <c r="B160" s="141" t="s">
        <v>68</v>
      </c>
      <c r="C160" s="17"/>
      <c r="D160" s="92"/>
      <c r="E160" s="137"/>
      <c r="F160" s="137"/>
      <c r="G160" s="137"/>
      <c r="H160" s="18">
        <f>SUM(H130:H159)</f>
        <v>0</v>
      </c>
      <c r="I160" s="123"/>
      <c r="J160" s="124"/>
      <c r="K160" s="124"/>
      <c r="L160" s="124"/>
      <c r="M160" s="124"/>
      <c r="N160" s="100"/>
      <c r="O160" s="100"/>
      <c r="P160" s="101"/>
      <c r="Q160" s="101"/>
      <c r="R160" s="8"/>
      <c r="S160" s="8"/>
      <c r="T160" s="9"/>
    </row>
    <row r="161" spans="2:22" s="7" customFormat="1" ht="49.5" customHeight="1" thickTop="1">
      <c r="B161" s="144" t="s">
        <v>134</v>
      </c>
      <c r="C161" s="84">
        <v>1</v>
      </c>
      <c r="D161" s="28" t="s">
        <v>76</v>
      </c>
      <c r="E161" s="79"/>
      <c r="F161" s="79"/>
      <c r="G161" s="79"/>
      <c r="H161" s="136">
        <f>IF(L161&lt;=0,I161*J161,I161*J161*L161)</f>
        <v>0</v>
      </c>
      <c r="I161" s="110"/>
      <c r="J161" s="111"/>
      <c r="K161" s="112"/>
      <c r="L161" s="113"/>
      <c r="M161" s="114"/>
      <c r="N161" s="94"/>
      <c r="O161" s="94"/>
      <c r="P161" s="95"/>
      <c r="Q161" s="95"/>
      <c r="R161" s="8"/>
      <c r="S161" s="8"/>
      <c r="T161" s="9"/>
      <c r="V161" s="26"/>
    </row>
    <row r="162" spans="2:22" s="7" customFormat="1" ht="49.5" customHeight="1">
      <c r="B162" s="145" t="s">
        <v>134</v>
      </c>
      <c r="C162" s="85">
        <f>C161+1</f>
        <v>2</v>
      </c>
      <c r="D162" s="91" t="s">
        <v>76</v>
      </c>
      <c r="E162" s="80"/>
      <c r="F162" s="80"/>
      <c r="G162" s="80"/>
      <c r="H162" s="134">
        <f>IF(L162&lt;=0,I162*J162,I162*J162*L162)</f>
        <v>0</v>
      </c>
      <c r="I162" s="115"/>
      <c r="J162" s="116"/>
      <c r="K162" s="117"/>
      <c r="L162" s="116"/>
      <c r="M162" s="118"/>
      <c r="N162" s="96"/>
      <c r="O162" s="96"/>
      <c r="P162" s="97"/>
      <c r="Q162" s="97"/>
      <c r="R162" s="10"/>
      <c r="S162" s="10"/>
      <c r="T162" s="11"/>
      <c r="V162" s="26"/>
    </row>
    <row r="163" spans="2:22" s="7" customFormat="1" ht="49.5" customHeight="1">
      <c r="B163" s="145" t="s">
        <v>134</v>
      </c>
      <c r="C163" s="85">
        <f t="shared" ref="C163:C220" si="19">C162+1</f>
        <v>3</v>
      </c>
      <c r="D163" s="91" t="s">
        <v>76</v>
      </c>
      <c r="E163" s="80"/>
      <c r="F163" s="80"/>
      <c r="G163" s="80"/>
      <c r="H163" s="134">
        <f t="shared" ref="H163:H172" si="20">IF(L163&lt;=0,I163*J163,I163*J163*L163)</f>
        <v>0</v>
      </c>
      <c r="I163" s="115"/>
      <c r="J163" s="116"/>
      <c r="K163" s="117"/>
      <c r="L163" s="116"/>
      <c r="M163" s="118"/>
      <c r="N163" s="96"/>
      <c r="O163" s="96"/>
      <c r="P163" s="97"/>
      <c r="Q163" s="97"/>
      <c r="R163" s="12"/>
      <c r="S163" s="12"/>
      <c r="T163" s="13"/>
      <c r="V163" s="26"/>
    </row>
    <row r="164" spans="2:22" s="7" customFormat="1" ht="49.5" customHeight="1">
      <c r="B164" s="145" t="s">
        <v>134</v>
      </c>
      <c r="C164" s="85">
        <f t="shared" si="19"/>
        <v>4</v>
      </c>
      <c r="D164" s="91" t="s">
        <v>76</v>
      </c>
      <c r="E164" s="80"/>
      <c r="F164" s="80"/>
      <c r="G164" s="80"/>
      <c r="H164" s="134">
        <f t="shared" si="20"/>
        <v>0</v>
      </c>
      <c r="I164" s="115"/>
      <c r="J164" s="116"/>
      <c r="K164" s="117"/>
      <c r="L164" s="116"/>
      <c r="M164" s="118"/>
      <c r="N164" s="96"/>
      <c r="O164" s="96"/>
      <c r="P164" s="97"/>
      <c r="Q164" s="97"/>
      <c r="R164" s="12"/>
      <c r="S164" s="12"/>
      <c r="T164" s="13"/>
      <c r="V164" s="26"/>
    </row>
    <row r="165" spans="2:22" s="7" customFormat="1" ht="49.5" customHeight="1">
      <c r="B165" s="145" t="s">
        <v>134</v>
      </c>
      <c r="C165" s="85">
        <f t="shared" si="19"/>
        <v>5</v>
      </c>
      <c r="D165" s="91" t="s">
        <v>76</v>
      </c>
      <c r="E165" s="80"/>
      <c r="F165" s="80"/>
      <c r="G165" s="80"/>
      <c r="H165" s="134">
        <f t="shared" si="20"/>
        <v>0</v>
      </c>
      <c r="I165" s="115"/>
      <c r="J165" s="116"/>
      <c r="K165" s="117"/>
      <c r="L165" s="116"/>
      <c r="M165" s="118"/>
      <c r="N165" s="96"/>
      <c r="O165" s="96"/>
      <c r="P165" s="97"/>
      <c r="Q165" s="97"/>
      <c r="R165" s="12"/>
      <c r="S165" s="12"/>
      <c r="T165" s="13"/>
      <c r="V165" s="26"/>
    </row>
    <row r="166" spans="2:22" s="7" customFormat="1" ht="49.5" customHeight="1">
      <c r="B166" s="145" t="s">
        <v>134</v>
      </c>
      <c r="C166" s="85">
        <f t="shared" si="19"/>
        <v>6</v>
      </c>
      <c r="D166" s="91" t="s">
        <v>76</v>
      </c>
      <c r="E166" s="80"/>
      <c r="F166" s="80"/>
      <c r="G166" s="80"/>
      <c r="H166" s="134">
        <f t="shared" si="20"/>
        <v>0</v>
      </c>
      <c r="I166" s="115"/>
      <c r="J166" s="116"/>
      <c r="K166" s="117"/>
      <c r="L166" s="116"/>
      <c r="M166" s="118"/>
      <c r="N166" s="96"/>
      <c r="O166" s="96"/>
      <c r="P166" s="97"/>
      <c r="Q166" s="97"/>
      <c r="R166" s="12"/>
      <c r="S166" s="12"/>
      <c r="T166" s="13"/>
      <c r="V166" s="26"/>
    </row>
    <row r="167" spans="2:22" s="7" customFormat="1" ht="49.5" customHeight="1">
      <c r="B167" s="145" t="s">
        <v>134</v>
      </c>
      <c r="C167" s="85">
        <f t="shared" si="19"/>
        <v>7</v>
      </c>
      <c r="D167" s="91" t="s">
        <v>76</v>
      </c>
      <c r="E167" s="80"/>
      <c r="F167" s="80"/>
      <c r="G167" s="80"/>
      <c r="H167" s="134">
        <f t="shared" si="20"/>
        <v>0</v>
      </c>
      <c r="I167" s="115"/>
      <c r="J167" s="116"/>
      <c r="K167" s="117"/>
      <c r="L167" s="116"/>
      <c r="M167" s="118"/>
      <c r="N167" s="96"/>
      <c r="O167" s="96"/>
      <c r="P167" s="97"/>
      <c r="Q167" s="97"/>
      <c r="R167" s="12"/>
      <c r="S167" s="12"/>
      <c r="T167" s="13"/>
      <c r="V167" s="26"/>
    </row>
    <row r="168" spans="2:22" s="7" customFormat="1" ht="49.5" customHeight="1">
      <c r="B168" s="145" t="s">
        <v>134</v>
      </c>
      <c r="C168" s="85">
        <f t="shared" si="19"/>
        <v>8</v>
      </c>
      <c r="D168" s="91" t="s">
        <v>76</v>
      </c>
      <c r="E168" s="80"/>
      <c r="F168" s="80"/>
      <c r="G168" s="80"/>
      <c r="H168" s="134">
        <f t="shared" si="20"/>
        <v>0</v>
      </c>
      <c r="I168" s="115"/>
      <c r="J168" s="116"/>
      <c r="K168" s="117"/>
      <c r="L168" s="116"/>
      <c r="M168" s="118"/>
      <c r="N168" s="96"/>
      <c r="O168" s="96"/>
      <c r="P168" s="97"/>
      <c r="Q168" s="97"/>
      <c r="R168" s="12"/>
      <c r="S168" s="12"/>
      <c r="T168" s="13"/>
      <c r="V168" s="26"/>
    </row>
    <row r="169" spans="2:22" s="7" customFormat="1" ht="49.5" customHeight="1">
      <c r="B169" s="145" t="s">
        <v>134</v>
      </c>
      <c r="C169" s="85">
        <f t="shared" si="19"/>
        <v>9</v>
      </c>
      <c r="D169" s="91" t="s">
        <v>76</v>
      </c>
      <c r="E169" s="80"/>
      <c r="F169" s="80"/>
      <c r="G169" s="80"/>
      <c r="H169" s="134">
        <f t="shared" si="20"/>
        <v>0</v>
      </c>
      <c r="I169" s="115"/>
      <c r="J169" s="116"/>
      <c r="K169" s="117"/>
      <c r="L169" s="116"/>
      <c r="M169" s="118"/>
      <c r="N169" s="96"/>
      <c r="O169" s="96"/>
      <c r="P169" s="97"/>
      <c r="Q169" s="97"/>
      <c r="R169" s="12"/>
      <c r="S169" s="12"/>
      <c r="T169" s="13"/>
      <c r="V169" s="26"/>
    </row>
    <row r="170" spans="2:22" s="7" customFormat="1" ht="49.5" customHeight="1">
      <c r="B170" s="145" t="s">
        <v>134</v>
      </c>
      <c r="C170" s="85">
        <f t="shared" si="19"/>
        <v>10</v>
      </c>
      <c r="D170" s="91" t="s">
        <v>76</v>
      </c>
      <c r="E170" s="80"/>
      <c r="F170" s="80"/>
      <c r="G170" s="80"/>
      <c r="H170" s="134">
        <f t="shared" si="20"/>
        <v>0</v>
      </c>
      <c r="I170" s="115"/>
      <c r="J170" s="116"/>
      <c r="K170" s="117"/>
      <c r="L170" s="116"/>
      <c r="M170" s="118"/>
      <c r="N170" s="96"/>
      <c r="O170" s="96"/>
      <c r="P170" s="97"/>
      <c r="Q170" s="97"/>
      <c r="R170" s="12"/>
      <c r="S170" s="12"/>
      <c r="T170" s="13"/>
      <c r="V170" s="26"/>
    </row>
    <row r="171" spans="2:22" s="7" customFormat="1" ht="49.5" customHeight="1">
      <c r="B171" s="145" t="s">
        <v>134</v>
      </c>
      <c r="C171" s="85">
        <f t="shared" si="19"/>
        <v>11</v>
      </c>
      <c r="D171" s="91" t="s">
        <v>76</v>
      </c>
      <c r="E171" s="80"/>
      <c r="F171" s="80"/>
      <c r="G171" s="80"/>
      <c r="H171" s="134">
        <f t="shared" si="20"/>
        <v>0</v>
      </c>
      <c r="I171" s="115"/>
      <c r="J171" s="116"/>
      <c r="K171" s="117"/>
      <c r="L171" s="116"/>
      <c r="M171" s="118"/>
      <c r="N171" s="96"/>
      <c r="O171" s="96"/>
      <c r="P171" s="97"/>
      <c r="Q171" s="97"/>
      <c r="R171" s="12"/>
      <c r="S171" s="12"/>
      <c r="T171" s="13"/>
      <c r="V171" s="26"/>
    </row>
    <row r="172" spans="2:22" s="7" customFormat="1" ht="49.5" customHeight="1">
      <c r="B172" s="145" t="s">
        <v>134</v>
      </c>
      <c r="C172" s="85">
        <f t="shared" si="19"/>
        <v>12</v>
      </c>
      <c r="D172" s="91" t="s">
        <v>76</v>
      </c>
      <c r="E172" s="80"/>
      <c r="F172" s="80"/>
      <c r="G172" s="80"/>
      <c r="H172" s="134">
        <f t="shared" si="20"/>
        <v>0</v>
      </c>
      <c r="I172" s="115"/>
      <c r="J172" s="116"/>
      <c r="K172" s="117"/>
      <c r="L172" s="116"/>
      <c r="M172" s="118"/>
      <c r="N172" s="96"/>
      <c r="O172" s="96"/>
      <c r="P172" s="97"/>
      <c r="Q172" s="97"/>
      <c r="R172" s="12"/>
      <c r="S172" s="12"/>
      <c r="T172" s="13"/>
      <c r="V172" s="26"/>
    </row>
    <row r="173" spans="2:22" s="7" customFormat="1" ht="49.5" customHeight="1">
      <c r="B173" s="145" t="s">
        <v>134</v>
      </c>
      <c r="C173" s="85">
        <f t="shared" si="19"/>
        <v>13</v>
      </c>
      <c r="D173" s="91" t="s">
        <v>76</v>
      </c>
      <c r="E173" s="80"/>
      <c r="F173" s="80"/>
      <c r="G173" s="80"/>
      <c r="H173" s="134">
        <f t="shared" ref="H173:H206" si="21">IF(L173&lt;=0,I173*J173,I173*J173*L173)</f>
        <v>0</v>
      </c>
      <c r="I173" s="115"/>
      <c r="J173" s="116"/>
      <c r="K173" s="117"/>
      <c r="L173" s="116"/>
      <c r="M173" s="118"/>
      <c r="N173" s="96"/>
      <c r="O173" s="96"/>
      <c r="P173" s="97"/>
      <c r="Q173" s="97"/>
      <c r="R173" s="12"/>
      <c r="S173" s="12"/>
      <c r="T173" s="13"/>
      <c r="V173" s="26"/>
    </row>
    <row r="174" spans="2:22" s="7" customFormat="1" ht="49.5" customHeight="1">
      <c r="B174" s="145" t="s">
        <v>134</v>
      </c>
      <c r="C174" s="85">
        <f t="shared" si="19"/>
        <v>14</v>
      </c>
      <c r="D174" s="91" t="s">
        <v>76</v>
      </c>
      <c r="E174" s="80"/>
      <c r="F174" s="80"/>
      <c r="G174" s="80"/>
      <c r="H174" s="134">
        <f t="shared" si="21"/>
        <v>0</v>
      </c>
      <c r="I174" s="115"/>
      <c r="J174" s="116"/>
      <c r="K174" s="117"/>
      <c r="L174" s="116"/>
      <c r="M174" s="118"/>
      <c r="N174" s="96"/>
      <c r="O174" s="96"/>
      <c r="P174" s="97"/>
      <c r="Q174" s="97"/>
      <c r="R174" s="12"/>
      <c r="S174" s="12"/>
      <c r="T174" s="13"/>
      <c r="V174" s="26"/>
    </row>
    <row r="175" spans="2:22" s="7" customFormat="1" ht="49.5" customHeight="1">
      <c r="B175" s="145" t="s">
        <v>134</v>
      </c>
      <c r="C175" s="85">
        <f t="shared" si="19"/>
        <v>15</v>
      </c>
      <c r="D175" s="91" t="s">
        <v>76</v>
      </c>
      <c r="E175" s="80"/>
      <c r="F175" s="80"/>
      <c r="G175" s="80"/>
      <c r="H175" s="134">
        <f t="shared" si="21"/>
        <v>0</v>
      </c>
      <c r="I175" s="115"/>
      <c r="J175" s="116"/>
      <c r="K175" s="117"/>
      <c r="L175" s="116"/>
      <c r="M175" s="118"/>
      <c r="N175" s="96"/>
      <c r="O175" s="96"/>
      <c r="P175" s="97"/>
      <c r="Q175" s="97"/>
      <c r="R175" s="12"/>
      <c r="S175" s="12"/>
      <c r="T175" s="13"/>
      <c r="V175" s="26"/>
    </row>
    <row r="176" spans="2:22" s="7" customFormat="1" ht="49.5" customHeight="1">
      <c r="B176" s="145" t="s">
        <v>134</v>
      </c>
      <c r="C176" s="85">
        <f t="shared" si="19"/>
        <v>16</v>
      </c>
      <c r="D176" s="91" t="s">
        <v>76</v>
      </c>
      <c r="E176" s="80"/>
      <c r="F176" s="80"/>
      <c r="G176" s="80"/>
      <c r="H176" s="134">
        <f t="shared" si="21"/>
        <v>0</v>
      </c>
      <c r="I176" s="115"/>
      <c r="J176" s="116"/>
      <c r="K176" s="117"/>
      <c r="L176" s="116"/>
      <c r="M176" s="118"/>
      <c r="N176" s="96"/>
      <c r="O176" s="96"/>
      <c r="P176" s="97"/>
      <c r="Q176" s="97"/>
      <c r="R176" s="12"/>
      <c r="S176" s="12"/>
      <c r="T176" s="13"/>
      <c r="V176" s="26"/>
    </row>
    <row r="177" spans="2:22" s="7" customFormat="1" ht="49.5" customHeight="1">
      <c r="B177" s="145" t="s">
        <v>134</v>
      </c>
      <c r="C177" s="85">
        <f t="shared" si="19"/>
        <v>17</v>
      </c>
      <c r="D177" s="91" t="s">
        <v>76</v>
      </c>
      <c r="E177" s="80"/>
      <c r="F177" s="80"/>
      <c r="G177" s="80"/>
      <c r="H177" s="134">
        <f t="shared" si="21"/>
        <v>0</v>
      </c>
      <c r="I177" s="115"/>
      <c r="J177" s="116"/>
      <c r="K177" s="117"/>
      <c r="L177" s="116"/>
      <c r="M177" s="118"/>
      <c r="N177" s="96"/>
      <c r="O177" s="96"/>
      <c r="P177" s="97"/>
      <c r="Q177" s="97"/>
      <c r="R177" s="12"/>
      <c r="S177" s="12"/>
      <c r="T177" s="13"/>
      <c r="V177" s="26"/>
    </row>
    <row r="178" spans="2:22" s="7" customFormat="1" ht="49.5" customHeight="1">
      <c r="B178" s="145" t="s">
        <v>134</v>
      </c>
      <c r="C178" s="85">
        <f t="shared" si="19"/>
        <v>18</v>
      </c>
      <c r="D178" s="91" t="s">
        <v>76</v>
      </c>
      <c r="E178" s="80"/>
      <c r="F178" s="80"/>
      <c r="G178" s="80"/>
      <c r="H178" s="134">
        <f t="shared" si="21"/>
        <v>0</v>
      </c>
      <c r="I178" s="115"/>
      <c r="J178" s="116"/>
      <c r="K178" s="117"/>
      <c r="L178" s="116"/>
      <c r="M178" s="118"/>
      <c r="N178" s="96"/>
      <c r="O178" s="96"/>
      <c r="P178" s="97"/>
      <c r="Q178" s="97"/>
      <c r="R178" s="12"/>
      <c r="S178" s="12"/>
      <c r="T178" s="13"/>
      <c r="V178" s="26"/>
    </row>
    <row r="179" spans="2:22" s="7" customFormat="1" ht="49.5" customHeight="1">
      <c r="B179" s="145" t="s">
        <v>134</v>
      </c>
      <c r="C179" s="85">
        <f t="shared" si="19"/>
        <v>19</v>
      </c>
      <c r="D179" s="91" t="s">
        <v>76</v>
      </c>
      <c r="E179" s="80"/>
      <c r="F179" s="80"/>
      <c r="G179" s="80"/>
      <c r="H179" s="134">
        <f t="shared" si="21"/>
        <v>0</v>
      </c>
      <c r="I179" s="115"/>
      <c r="J179" s="116"/>
      <c r="K179" s="117"/>
      <c r="L179" s="116"/>
      <c r="M179" s="118"/>
      <c r="N179" s="96"/>
      <c r="O179" s="96"/>
      <c r="P179" s="97"/>
      <c r="Q179" s="97"/>
      <c r="R179" s="12"/>
      <c r="S179" s="12"/>
      <c r="T179" s="13"/>
      <c r="V179" s="26"/>
    </row>
    <row r="180" spans="2:22" s="7" customFormat="1" ht="49.5" customHeight="1">
      <c r="B180" s="145" t="s">
        <v>134</v>
      </c>
      <c r="C180" s="85">
        <f t="shared" si="19"/>
        <v>20</v>
      </c>
      <c r="D180" s="91" t="s">
        <v>76</v>
      </c>
      <c r="E180" s="80"/>
      <c r="F180" s="80"/>
      <c r="G180" s="80"/>
      <c r="H180" s="134">
        <f t="shared" si="21"/>
        <v>0</v>
      </c>
      <c r="I180" s="115"/>
      <c r="J180" s="116"/>
      <c r="K180" s="117"/>
      <c r="L180" s="116"/>
      <c r="M180" s="118"/>
      <c r="N180" s="96"/>
      <c r="O180" s="96"/>
      <c r="P180" s="97"/>
      <c r="Q180" s="97"/>
      <c r="R180" s="12"/>
      <c r="S180" s="12"/>
      <c r="T180" s="13"/>
      <c r="V180" s="26"/>
    </row>
    <row r="181" spans="2:22" s="7" customFormat="1" ht="49.5" customHeight="1">
      <c r="B181" s="145" t="s">
        <v>134</v>
      </c>
      <c r="C181" s="85">
        <f t="shared" si="19"/>
        <v>21</v>
      </c>
      <c r="D181" s="91" t="s">
        <v>76</v>
      </c>
      <c r="E181" s="80"/>
      <c r="F181" s="80"/>
      <c r="G181" s="80"/>
      <c r="H181" s="134">
        <f t="shared" si="21"/>
        <v>0</v>
      </c>
      <c r="I181" s="115"/>
      <c r="J181" s="116"/>
      <c r="K181" s="117"/>
      <c r="L181" s="116"/>
      <c r="M181" s="118"/>
      <c r="N181" s="96"/>
      <c r="O181" s="96"/>
      <c r="P181" s="97"/>
      <c r="Q181" s="97"/>
      <c r="R181" s="12"/>
      <c r="S181" s="12"/>
      <c r="T181" s="13"/>
      <c r="V181" s="26"/>
    </row>
    <row r="182" spans="2:22" s="7" customFormat="1" ht="49.5" customHeight="1">
      <c r="B182" s="145" t="s">
        <v>134</v>
      </c>
      <c r="C182" s="85">
        <f t="shared" si="19"/>
        <v>22</v>
      </c>
      <c r="D182" s="91" t="s">
        <v>76</v>
      </c>
      <c r="E182" s="80"/>
      <c r="F182" s="80"/>
      <c r="G182" s="80"/>
      <c r="H182" s="134">
        <f t="shared" si="21"/>
        <v>0</v>
      </c>
      <c r="I182" s="115"/>
      <c r="J182" s="116"/>
      <c r="K182" s="117"/>
      <c r="L182" s="116"/>
      <c r="M182" s="118"/>
      <c r="N182" s="96"/>
      <c r="O182" s="96"/>
      <c r="P182" s="97"/>
      <c r="Q182" s="97"/>
      <c r="R182" s="12"/>
      <c r="S182" s="12"/>
      <c r="T182" s="13"/>
      <c r="V182" s="26"/>
    </row>
    <row r="183" spans="2:22" s="7" customFormat="1" ht="49.5" customHeight="1">
      <c r="B183" s="145" t="s">
        <v>134</v>
      </c>
      <c r="C183" s="85">
        <f t="shared" si="19"/>
        <v>23</v>
      </c>
      <c r="D183" s="91" t="s">
        <v>76</v>
      </c>
      <c r="E183" s="80"/>
      <c r="F183" s="80"/>
      <c r="G183" s="80"/>
      <c r="H183" s="134">
        <f t="shared" si="21"/>
        <v>0</v>
      </c>
      <c r="I183" s="115"/>
      <c r="J183" s="116"/>
      <c r="K183" s="117"/>
      <c r="L183" s="116"/>
      <c r="M183" s="118"/>
      <c r="N183" s="96"/>
      <c r="O183" s="96"/>
      <c r="P183" s="97"/>
      <c r="Q183" s="97"/>
      <c r="R183" s="12"/>
      <c r="S183" s="12"/>
      <c r="T183" s="13"/>
      <c r="V183" s="26"/>
    </row>
    <row r="184" spans="2:22" s="7" customFormat="1" ht="49.5" customHeight="1">
      <c r="B184" s="145" t="s">
        <v>134</v>
      </c>
      <c r="C184" s="85">
        <f t="shared" si="19"/>
        <v>24</v>
      </c>
      <c r="D184" s="91" t="s">
        <v>76</v>
      </c>
      <c r="E184" s="80"/>
      <c r="F184" s="80"/>
      <c r="G184" s="80"/>
      <c r="H184" s="134">
        <f t="shared" si="21"/>
        <v>0</v>
      </c>
      <c r="I184" s="115"/>
      <c r="J184" s="116"/>
      <c r="K184" s="117"/>
      <c r="L184" s="116"/>
      <c r="M184" s="118"/>
      <c r="N184" s="96"/>
      <c r="O184" s="96"/>
      <c r="P184" s="97"/>
      <c r="Q184" s="97"/>
      <c r="R184" s="12"/>
      <c r="S184" s="12"/>
      <c r="T184" s="13"/>
      <c r="V184" s="26"/>
    </row>
    <row r="185" spans="2:22" s="7" customFormat="1" ht="49.5" customHeight="1">
      <c r="B185" s="145" t="s">
        <v>134</v>
      </c>
      <c r="C185" s="85">
        <f t="shared" si="19"/>
        <v>25</v>
      </c>
      <c r="D185" s="91" t="s">
        <v>76</v>
      </c>
      <c r="E185" s="80"/>
      <c r="F185" s="80"/>
      <c r="G185" s="80"/>
      <c r="H185" s="134">
        <f t="shared" si="21"/>
        <v>0</v>
      </c>
      <c r="I185" s="115"/>
      <c r="J185" s="116"/>
      <c r="K185" s="117"/>
      <c r="L185" s="116"/>
      <c r="M185" s="118"/>
      <c r="N185" s="96"/>
      <c r="O185" s="96"/>
      <c r="P185" s="97"/>
      <c r="Q185" s="97"/>
      <c r="R185" s="12"/>
      <c r="S185" s="12"/>
      <c r="T185" s="13"/>
      <c r="V185" s="26"/>
    </row>
    <row r="186" spans="2:22" s="7" customFormat="1" ht="49.5" customHeight="1">
      <c r="B186" s="145" t="s">
        <v>134</v>
      </c>
      <c r="C186" s="85">
        <f t="shared" si="19"/>
        <v>26</v>
      </c>
      <c r="D186" s="91" t="s">
        <v>76</v>
      </c>
      <c r="E186" s="80"/>
      <c r="F186" s="80"/>
      <c r="G186" s="80"/>
      <c r="H186" s="134">
        <f t="shared" si="21"/>
        <v>0</v>
      </c>
      <c r="I186" s="115"/>
      <c r="J186" s="116"/>
      <c r="K186" s="117"/>
      <c r="L186" s="116"/>
      <c r="M186" s="118"/>
      <c r="N186" s="96"/>
      <c r="O186" s="96"/>
      <c r="P186" s="97"/>
      <c r="Q186" s="97"/>
      <c r="R186" s="12"/>
      <c r="S186" s="12"/>
      <c r="T186" s="13"/>
      <c r="V186" s="26"/>
    </row>
    <row r="187" spans="2:22" s="7" customFormat="1" ht="49.5" customHeight="1">
      <c r="B187" s="145" t="s">
        <v>134</v>
      </c>
      <c r="C187" s="85">
        <f t="shared" si="19"/>
        <v>27</v>
      </c>
      <c r="D187" s="91" t="s">
        <v>76</v>
      </c>
      <c r="E187" s="80"/>
      <c r="F187" s="80"/>
      <c r="G187" s="80"/>
      <c r="H187" s="134">
        <f t="shared" si="21"/>
        <v>0</v>
      </c>
      <c r="I187" s="115"/>
      <c r="J187" s="116"/>
      <c r="K187" s="117"/>
      <c r="L187" s="116"/>
      <c r="M187" s="118"/>
      <c r="N187" s="96"/>
      <c r="O187" s="96"/>
      <c r="P187" s="97"/>
      <c r="Q187" s="97"/>
      <c r="R187" s="12"/>
      <c r="S187" s="12"/>
      <c r="T187" s="13"/>
      <c r="V187" s="26"/>
    </row>
    <row r="188" spans="2:22" s="7" customFormat="1" ht="49.5" customHeight="1">
      <c r="B188" s="145" t="s">
        <v>134</v>
      </c>
      <c r="C188" s="85">
        <f t="shared" si="19"/>
        <v>28</v>
      </c>
      <c r="D188" s="91" t="s">
        <v>76</v>
      </c>
      <c r="E188" s="80"/>
      <c r="F188" s="80"/>
      <c r="G188" s="80"/>
      <c r="H188" s="134">
        <f t="shared" si="21"/>
        <v>0</v>
      </c>
      <c r="I188" s="115"/>
      <c r="J188" s="116"/>
      <c r="K188" s="117"/>
      <c r="L188" s="116"/>
      <c r="M188" s="118"/>
      <c r="N188" s="96"/>
      <c r="O188" s="96"/>
      <c r="P188" s="97"/>
      <c r="Q188" s="97"/>
      <c r="R188" s="12"/>
      <c r="S188" s="12"/>
      <c r="T188" s="13"/>
      <c r="V188" s="26"/>
    </row>
    <row r="189" spans="2:22" s="7" customFormat="1" ht="49.5" customHeight="1">
      <c r="B189" s="145" t="s">
        <v>134</v>
      </c>
      <c r="C189" s="85">
        <f t="shared" si="19"/>
        <v>29</v>
      </c>
      <c r="D189" s="91" t="s">
        <v>76</v>
      </c>
      <c r="E189" s="80"/>
      <c r="F189" s="80"/>
      <c r="G189" s="80"/>
      <c r="H189" s="134">
        <f t="shared" si="21"/>
        <v>0</v>
      </c>
      <c r="I189" s="115"/>
      <c r="J189" s="116"/>
      <c r="K189" s="117"/>
      <c r="L189" s="116"/>
      <c r="M189" s="118"/>
      <c r="N189" s="96"/>
      <c r="O189" s="96"/>
      <c r="P189" s="97"/>
      <c r="Q189" s="97"/>
      <c r="R189" s="12"/>
      <c r="S189" s="12"/>
      <c r="T189" s="13"/>
      <c r="V189" s="26"/>
    </row>
    <row r="190" spans="2:22" s="7" customFormat="1" ht="49.5" customHeight="1" thickBot="1">
      <c r="B190" s="145" t="s">
        <v>134</v>
      </c>
      <c r="C190" s="85">
        <f t="shared" si="19"/>
        <v>30</v>
      </c>
      <c r="D190" s="91" t="s">
        <v>76</v>
      </c>
      <c r="E190" s="80"/>
      <c r="F190" s="80"/>
      <c r="G190" s="80"/>
      <c r="H190" s="134">
        <f t="shared" si="21"/>
        <v>0</v>
      </c>
      <c r="I190" s="115"/>
      <c r="J190" s="116"/>
      <c r="K190" s="117"/>
      <c r="L190" s="116"/>
      <c r="M190" s="118"/>
      <c r="N190" s="96"/>
      <c r="O190" s="96"/>
      <c r="P190" s="97"/>
      <c r="Q190" s="97"/>
      <c r="R190" s="12"/>
      <c r="S190" s="12"/>
      <c r="T190" s="13"/>
      <c r="U190" s="88" t="s">
        <v>67</v>
      </c>
      <c r="V190" s="26"/>
    </row>
    <row r="191" spans="2:22" s="7" customFormat="1" ht="49.5" hidden="1" customHeight="1">
      <c r="B191" s="145" t="s">
        <v>134</v>
      </c>
      <c r="C191" s="85">
        <f t="shared" si="19"/>
        <v>31</v>
      </c>
      <c r="D191" s="91" t="s">
        <v>76</v>
      </c>
      <c r="E191" s="80"/>
      <c r="F191" s="80"/>
      <c r="G191" s="80"/>
      <c r="H191" s="134">
        <f t="shared" si="21"/>
        <v>0</v>
      </c>
      <c r="I191" s="115"/>
      <c r="J191" s="116"/>
      <c r="K191" s="117"/>
      <c r="L191" s="116"/>
      <c r="M191" s="118"/>
      <c r="N191" s="96"/>
      <c r="O191" s="96"/>
      <c r="P191" s="97"/>
      <c r="Q191" s="97"/>
      <c r="R191" s="12"/>
      <c r="S191" s="12"/>
      <c r="T191" s="13"/>
      <c r="V191" s="26"/>
    </row>
    <row r="192" spans="2:22" s="7" customFormat="1" ht="49.5" hidden="1" customHeight="1">
      <c r="B192" s="145" t="s">
        <v>134</v>
      </c>
      <c r="C192" s="85">
        <f t="shared" si="19"/>
        <v>32</v>
      </c>
      <c r="D192" s="91" t="s">
        <v>76</v>
      </c>
      <c r="E192" s="80"/>
      <c r="F192" s="80"/>
      <c r="G192" s="80"/>
      <c r="H192" s="134">
        <f t="shared" si="21"/>
        <v>0</v>
      </c>
      <c r="I192" s="115"/>
      <c r="J192" s="116"/>
      <c r="K192" s="117"/>
      <c r="L192" s="116"/>
      <c r="M192" s="118"/>
      <c r="N192" s="96"/>
      <c r="O192" s="96"/>
      <c r="P192" s="97"/>
      <c r="Q192" s="97"/>
      <c r="R192" s="12"/>
      <c r="S192" s="12"/>
      <c r="T192" s="13"/>
      <c r="V192" s="26"/>
    </row>
    <row r="193" spans="2:22" s="7" customFormat="1" ht="49.5" hidden="1" customHeight="1">
      <c r="B193" s="145" t="s">
        <v>134</v>
      </c>
      <c r="C193" s="85">
        <f t="shared" si="19"/>
        <v>33</v>
      </c>
      <c r="D193" s="91" t="s">
        <v>76</v>
      </c>
      <c r="E193" s="80"/>
      <c r="F193" s="80"/>
      <c r="G193" s="80"/>
      <c r="H193" s="134">
        <f t="shared" si="21"/>
        <v>0</v>
      </c>
      <c r="I193" s="115"/>
      <c r="J193" s="116"/>
      <c r="K193" s="117"/>
      <c r="L193" s="116"/>
      <c r="M193" s="118"/>
      <c r="N193" s="96"/>
      <c r="O193" s="96"/>
      <c r="P193" s="97"/>
      <c r="Q193" s="97"/>
      <c r="R193" s="12"/>
      <c r="S193" s="12"/>
      <c r="T193" s="13"/>
      <c r="V193" s="26"/>
    </row>
    <row r="194" spans="2:22" s="7" customFormat="1" ht="49.5" hidden="1" customHeight="1">
      <c r="B194" s="145" t="s">
        <v>134</v>
      </c>
      <c r="C194" s="85">
        <f t="shared" si="19"/>
        <v>34</v>
      </c>
      <c r="D194" s="91" t="s">
        <v>76</v>
      </c>
      <c r="E194" s="80"/>
      <c r="F194" s="80"/>
      <c r="G194" s="80"/>
      <c r="H194" s="134">
        <f t="shared" si="21"/>
        <v>0</v>
      </c>
      <c r="I194" s="115"/>
      <c r="J194" s="116"/>
      <c r="K194" s="117"/>
      <c r="L194" s="116"/>
      <c r="M194" s="118"/>
      <c r="N194" s="96"/>
      <c r="O194" s="96"/>
      <c r="P194" s="97"/>
      <c r="Q194" s="97"/>
      <c r="R194" s="12"/>
      <c r="S194" s="12"/>
      <c r="T194" s="13"/>
      <c r="V194" s="26"/>
    </row>
    <row r="195" spans="2:22" s="7" customFormat="1" ht="49.5" hidden="1" customHeight="1">
      <c r="B195" s="145" t="s">
        <v>134</v>
      </c>
      <c r="C195" s="85">
        <f t="shared" si="19"/>
        <v>35</v>
      </c>
      <c r="D195" s="91" t="s">
        <v>76</v>
      </c>
      <c r="E195" s="80"/>
      <c r="F195" s="80"/>
      <c r="G195" s="80"/>
      <c r="H195" s="134">
        <f t="shared" si="21"/>
        <v>0</v>
      </c>
      <c r="I195" s="115"/>
      <c r="J195" s="116"/>
      <c r="K195" s="117"/>
      <c r="L195" s="116"/>
      <c r="M195" s="118"/>
      <c r="N195" s="96"/>
      <c r="O195" s="96"/>
      <c r="P195" s="97"/>
      <c r="Q195" s="97"/>
      <c r="R195" s="12"/>
      <c r="S195" s="12"/>
      <c r="T195" s="13"/>
      <c r="V195" s="26"/>
    </row>
    <row r="196" spans="2:22" s="7" customFormat="1" ht="49.5" hidden="1" customHeight="1">
      <c r="B196" s="145" t="s">
        <v>134</v>
      </c>
      <c r="C196" s="85">
        <f t="shared" si="19"/>
        <v>36</v>
      </c>
      <c r="D196" s="91" t="s">
        <v>76</v>
      </c>
      <c r="E196" s="80"/>
      <c r="F196" s="80"/>
      <c r="G196" s="80"/>
      <c r="H196" s="134">
        <f t="shared" si="21"/>
        <v>0</v>
      </c>
      <c r="I196" s="115"/>
      <c r="J196" s="116"/>
      <c r="K196" s="117"/>
      <c r="L196" s="116"/>
      <c r="M196" s="118"/>
      <c r="N196" s="96"/>
      <c r="O196" s="96"/>
      <c r="P196" s="97"/>
      <c r="Q196" s="97"/>
      <c r="R196" s="12"/>
      <c r="S196" s="12"/>
      <c r="T196" s="13"/>
      <c r="V196" s="26"/>
    </row>
    <row r="197" spans="2:22" s="7" customFormat="1" ht="49.5" hidden="1" customHeight="1">
      <c r="B197" s="145" t="s">
        <v>134</v>
      </c>
      <c r="C197" s="85">
        <f t="shared" si="19"/>
        <v>37</v>
      </c>
      <c r="D197" s="91" t="s">
        <v>76</v>
      </c>
      <c r="E197" s="80"/>
      <c r="F197" s="80"/>
      <c r="G197" s="80"/>
      <c r="H197" s="134">
        <f t="shared" si="21"/>
        <v>0</v>
      </c>
      <c r="I197" s="115"/>
      <c r="J197" s="116"/>
      <c r="K197" s="117"/>
      <c r="L197" s="116"/>
      <c r="M197" s="118"/>
      <c r="N197" s="96"/>
      <c r="O197" s="96"/>
      <c r="P197" s="97"/>
      <c r="Q197" s="97"/>
      <c r="R197" s="12"/>
      <c r="S197" s="12"/>
      <c r="T197" s="13"/>
      <c r="V197" s="26"/>
    </row>
    <row r="198" spans="2:22" s="7" customFormat="1" ht="49.5" hidden="1" customHeight="1">
      <c r="B198" s="145" t="s">
        <v>134</v>
      </c>
      <c r="C198" s="85">
        <f t="shared" si="19"/>
        <v>38</v>
      </c>
      <c r="D198" s="91" t="s">
        <v>76</v>
      </c>
      <c r="E198" s="80"/>
      <c r="F198" s="80"/>
      <c r="G198" s="80"/>
      <c r="H198" s="134">
        <f t="shared" si="21"/>
        <v>0</v>
      </c>
      <c r="I198" s="115"/>
      <c r="J198" s="116"/>
      <c r="K198" s="117"/>
      <c r="L198" s="116"/>
      <c r="M198" s="118"/>
      <c r="N198" s="96"/>
      <c r="O198" s="96"/>
      <c r="P198" s="97"/>
      <c r="Q198" s="97"/>
      <c r="R198" s="12"/>
      <c r="S198" s="12"/>
      <c r="T198" s="13"/>
      <c r="V198" s="26"/>
    </row>
    <row r="199" spans="2:22" s="7" customFormat="1" ht="49.5" hidden="1" customHeight="1">
      <c r="B199" s="145" t="s">
        <v>134</v>
      </c>
      <c r="C199" s="85">
        <f t="shared" si="19"/>
        <v>39</v>
      </c>
      <c r="D199" s="91" t="s">
        <v>76</v>
      </c>
      <c r="E199" s="80"/>
      <c r="F199" s="80"/>
      <c r="G199" s="80"/>
      <c r="H199" s="134">
        <f t="shared" si="21"/>
        <v>0</v>
      </c>
      <c r="I199" s="115"/>
      <c r="J199" s="116"/>
      <c r="K199" s="117"/>
      <c r="L199" s="116"/>
      <c r="M199" s="118"/>
      <c r="N199" s="96"/>
      <c r="O199" s="96"/>
      <c r="P199" s="97"/>
      <c r="Q199" s="97"/>
      <c r="R199" s="12"/>
      <c r="S199" s="12"/>
      <c r="T199" s="13"/>
      <c r="V199" s="26"/>
    </row>
    <row r="200" spans="2:22" s="7" customFormat="1" ht="49.5" hidden="1" customHeight="1">
      <c r="B200" s="145" t="s">
        <v>134</v>
      </c>
      <c r="C200" s="85">
        <f t="shared" si="19"/>
        <v>40</v>
      </c>
      <c r="D200" s="91" t="s">
        <v>76</v>
      </c>
      <c r="E200" s="80"/>
      <c r="F200" s="80"/>
      <c r="G200" s="80"/>
      <c r="H200" s="134">
        <f t="shared" si="21"/>
        <v>0</v>
      </c>
      <c r="I200" s="115"/>
      <c r="J200" s="116"/>
      <c r="K200" s="117"/>
      <c r="L200" s="116"/>
      <c r="M200" s="118"/>
      <c r="N200" s="96"/>
      <c r="O200" s="96"/>
      <c r="P200" s="97"/>
      <c r="Q200" s="97"/>
      <c r="R200" s="12"/>
      <c r="S200" s="12"/>
      <c r="T200" s="13"/>
      <c r="V200" s="26"/>
    </row>
    <row r="201" spans="2:22" s="7" customFormat="1" ht="49.5" hidden="1" customHeight="1">
      <c r="B201" s="145" t="s">
        <v>134</v>
      </c>
      <c r="C201" s="85">
        <f t="shared" si="19"/>
        <v>41</v>
      </c>
      <c r="D201" s="91" t="s">
        <v>76</v>
      </c>
      <c r="E201" s="80"/>
      <c r="F201" s="80"/>
      <c r="G201" s="80"/>
      <c r="H201" s="134">
        <f t="shared" si="21"/>
        <v>0</v>
      </c>
      <c r="I201" s="115"/>
      <c r="J201" s="116"/>
      <c r="K201" s="117"/>
      <c r="L201" s="116"/>
      <c r="M201" s="118"/>
      <c r="N201" s="96"/>
      <c r="O201" s="96"/>
      <c r="P201" s="97"/>
      <c r="Q201" s="97"/>
      <c r="R201" s="12"/>
      <c r="S201" s="12"/>
      <c r="T201" s="13"/>
      <c r="V201" s="26"/>
    </row>
    <row r="202" spans="2:22" s="7" customFormat="1" ht="49.5" hidden="1" customHeight="1">
      <c r="B202" s="145" t="s">
        <v>134</v>
      </c>
      <c r="C202" s="85">
        <f t="shared" si="19"/>
        <v>42</v>
      </c>
      <c r="D202" s="91" t="s">
        <v>76</v>
      </c>
      <c r="E202" s="80"/>
      <c r="F202" s="80"/>
      <c r="G202" s="80"/>
      <c r="H202" s="134">
        <f t="shared" si="21"/>
        <v>0</v>
      </c>
      <c r="I202" s="115"/>
      <c r="J202" s="116"/>
      <c r="K202" s="117"/>
      <c r="L202" s="116"/>
      <c r="M202" s="118"/>
      <c r="N202" s="96"/>
      <c r="O202" s="96"/>
      <c r="P202" s="97"/>
      <c r="Q202" s="97"/>
      <c r="R202" s="12"/>
      <c r="S202" s="12"/>
      <c r="T202" s="13"/>
      <c r="V202" s="26"/>
    </row>
    <row r="203" spans="2:22" s="7" customFormat="1" ht="49.5" hidden="1" customHeight="1">
      <c r="B203" s="145" t="s">
        <v>134</v>
      </c>
      <c r="C203" s="85">
        <f t="shared" si="19"/>
        <v>43</v>
      </c>
      <c r="D203" s="91" t="s">
        <v>76</v>
      </c>
      <c r="E203" s="80"/>
      <c r="F203" s="80"/>
      <c r="G203" s="80"/>
      <c r="H203" s="134">
        <f t="shared" si="21"/>
        <v>0</v>
      </c>
      <c r="I203" s="115"/>
      <c r="J203" s="116"/>
      <c r="K203" s="117"/>
      <c r="L203" s="116"/>
      <c r="M203" s="118"/>
      <c r="N203" s="96"/>
      <c r="O203" s="96"/>
      <c r="P203" s="97"/>
      <c r="Q203" s="97"/>
      <c r="R203" s="12"/>
      <c r="S203" s="12"/>
      <c r="T203" s="13"/>
      <c r="V203" s="26"/>
    </row>
    <row r="204" spans="2:22" s="7" customFormat="1" ht="49.5" hidden="1" customHeight="1">
      <c r="B204" s="145" t="s">
        <v>134</v>
      </c>
      <c r="C204" s="85">
        <f t="shared" si="19"/>
        <v>44</v>
      </c>
      <c r="D204" s="91" t="s">
        <v>76</v>
      </c>
      <c r="E204" s="80"/>
      <c r="F204" s="80"/>
      <c r="G204" s="80"/>
      <c r="H204" s="134">
        <f t="shared" si="21"/>
        <v>0</v>
      </c>
      <c r="I204" s="115"/>
      <c r="J204" s="116"/>
      <c r="K204" s="117"/>
      <c r="L204" s="116"/>
      <c r="M204" s="118"/>
      <c r="N204" s="96"/>
      <c r="O204" s="96"/>
      <c r="P204" s="97"/>
      <c r="Q204" s="97"/>
      <c r="R204" s="12"/>
      <c r="S204" s="12"/>
      <c r="T204" s="13"/>
      <c r="V204" s="26"/>
    </row>
    <row r="205" spans="2:22" s="7" customFormat="1" ht="49.5" hidden="1" customHeight="1">
      <c r="B205" s="145" t="s">
        <v>134</v>
      </c>
      <c r="C205" s="85">
        <f t="shared" si="19"/>
        <v>45</v>
      </c>
      <c r="D205" s="91" t="s">
        <v>76</v>
      </c>
      <c r="E205" s="80"/>
      <c r="F205" s="80"/>
      <c r="G205" s="80"/>
      <c r="H205" s="134">
        <f t="shared" si="21"/>
        <v>0</v>
      </c>
      <c r="I205" s="115"/>
      <c r="J205" s="116"/>
      <c r="K205" s="117"/>
      <c r="L205" s="116"/>
      <c r="M205" s="118"/>
      <c r="N205" s="96"/>
      <c r="O205" s="96"/>
      <c r="P205" s="97"/>
      <c r="Q205" s="97"/>
      <c r="R205" s="12"/>
      <c r="S205" s="12"/>
      <c r="T205" s="13"/>
      <c r="V205" s="26"/>
    </row>
    <row r="206" spans="2:22" s="7" customFormat="1" ht="49.5" hidden="1" customHeight="1">
      <c r="B206" s="145" t="s">
        <v>134</v>
      </c>
      <c r="C206" s="85">
        <f t="shared" si="19"/>
        <v>46</v>
      </c>
      <c r="D206" s="91" t="s">
        <v>76</v>
      </c>
      <c r="E206" s="80"/>
      <c r="F206" s="80"/>
      <c r="G206" s="80"/>
      <c r="H206" s="134">
        <f t="shared" si="21"/>
        <v>0</v>
      </c>
      <c r="I206" s="115"/>
      <c r="J206" s="116"/>
      <c r="K206" s="117"/>
      <c r="L206" s="116"/>
      <c r="M206" s="118"/>
      <c r="N206" s="96"/>
      <c r="O206" s="96"/>
      <c r="P206" s="97"/>
      <c r="Q206" s="97"/>
      <c r="R206" s="12"/>
      <c r="S206" s="12"/>
      <c r="T206" s="13"/>
      <c r="V206" s="26"/>
    </row>
    <row r="207" spans="2:22" s="7" customFormat="1" ht="49.5" hidden="1" customHeight="1">
      <c r="B207" s="145" t="s">
        <v>134</v>
      </c>
      <c r="C207" s="85">
        <f t="shared" si="19"/>
        <v>47</v>
      </c>
      <c r="D207" s="91" t="s">
        <v>76</v>
      </c>
      <c r="E207" s="80"/>
      <c r="F207" s="80"/>
      <c r="G207" s="80"/>
      <c r="H207" s="134">
        <f t="shared" ref="H207:H211" si="22">IF(L207&lt;=0,I207*J207,I207*J207*L207)</f>
        <v>0</v>
      </c>
      <c r="I207" s="115"/>
      <c r="J207" s="116"/>
      <c r="K207" s="117"/>
      <c r="L207" s="116"/>
      <c r="M207" s="118"/>
      <c r="N207" s="96"/>
      <c r="O207" s="96"/>
      <c r="P207" s="97"/>
      <c r="Q207" s="97"/>
      <c r="R207" s="12"/>
      <c r="S207" s="12"/>
      <c r="T207" s="13"/>
      <c r="V207" s="26"/>
    </row>
    <row r="208" spans="2:22" s="7" customFormat="1" ht="49.5" hidden="1" customHeight="1">
      <c r="B208" s="145" t="s">
        <v>134</v>
      </c>
      <c r="C208" s="85">
        <f t="shared" si="19"/>
        <v>48</v>
      </c>
      <c r="D208" s="91" t="s">
        <v>76</v>
      </c>
      <c r="E208" s="80"/>
      <c r="F208" s="80"/>
      <c r="G208" s="80"/>
      <c r="H208" s="134">
        <f t="shared" si="22"/>
        <v>0</v>
      </c>
      <c r="I208" s="115"/>
      <c r="J208" s="116"/>
      <c r="K208" s="117"/>
      <c r="L208" s="116"/>
      <c r="M208" s="118"/>
      <c r="N208" s="96"/>
      <c r="O208" s="96"/>
      <c r="P208" s="97"/>
      <c r="Q208" s="97"/>
      <c r="R208" s="12"/>
      <c r="S208" s="12"/>
      <c r="T208" s="13"/>
      <c r="V208" s="26"/>
    </row>
    <row r="209" spans="2:22" s="7" customFormat="1" ht="49.5" hidden="1" customHeight="1">
      <c r="B209" s="145" t="s">
        <v>134</v>
      </c>
      <c r="C209" s="85">
        <f t="shared" si="19"/>
        <v>49</v>
      </c>
      <c r="D209" s="91" t="s">
        <v>76</v>
      </c>
      <c r="E209" s="80"/>
      <c r="F209" s="80"/>
      <c r="G209" s="80"/>
      <c r="H209" s="134">
        <f t="shared" si="22"/>
        <v>0</v>
      </c>
      <c r="I209" s="115"/>
      <c r="J209" s="116"/>
      <c r="K209" s="117"/>
      <c r="L209" s="116"/>
      <c r="M209" s="118"/>
      <c r="N209" s="96"/>
      <c r="O209" s="96"/>
      <c r="P209" s="97"/>
      <c r="Q209" s="97"/>
      <c r="R209" s="12"/>
      <c r="S209" s="12"/>
      <c r="T209" s="13"/>
      <c r="V209" s="26"/>
    </row>
    <row r="210" spans="2:22" s="7" customFormat="1" ht="49.5" hidden="1" customHeight="1">
      <c r="B210" s="145" t="s">
        <v>134</v>
      </c>
      <c r="C210" s="85">
        <f t="shared" si="19"/>
        <v>50</v>
      </c>
      <c r="D210" s="91" t="s">
        <v>76</v>
      </c>
      <c r="E210" s="80"/>
      <c r="F210" s="80"/>
      <c r="G210" s="80"/>
      <c r="H210" s="134">
        <f t="shared" si="22"/>
        <v>0</v>
      </c>
      <c r="I210" s="115"/>
      <c r="J210" s="116"/>
      <c r="K210" s="117"/>
      <c r="L210" s="116"/>
      <c r="M210" s="118"/>
      <c r="N210" s="96"/>
      <c r="O210" s="96"/>
      <c r="P210" s="97"/>
      <c r="Q210" s="97"/>
      <c r="R210" s="12"/>
      <c r="S210" s="12"/>
      <c r="T210" s="13"/>
      <c r="V210" s="26"/>
    </row>
    <row r="211" spans="2:22" s="7" customFormat="1" ht="49.5" hidden="1" customHeight="1">
      <c r="B211" s="145" t="s">
        <v>134</v>
      </c>
      <c r="C211" s="85">
        <f t="shared" si="19"/>
        <v>51</v>
      </c>
      <c r="D211" s="91" t="s">
        <v>76</v>
      </c>
      <c r="E211" s="80"/>
      <c r="F211" s="80"/>
      <c r="G211" s="80"/>
      <c r="H211" s="134">
        <f t="shared" si="22"/>
        <v>0</v>
      </c>
      <c r="I211" s="115"/>
      <c r="J211" s="116"/>
      <c r="K211" s="117"/>
      <c r="L211" s="116"/>
      <c r="M211" s="118"/>
      <c r="N211" s="96"/>
      <c r="O211" s="96"/>
      <c r="P211" s="97"/>
      <c r="Q211" s="97"/>
      <c r="R211" s="12"/>
      <c r="S211" s="12"/>
      <c r="T211" s="13"/>
      <c r="V211" s="26"/>
    </row>
    <row r="212" spans="2:22" s="7" customFormat="1" ht="49.5" hidden="1" customHeight="1">
      <c r="B212" s="145" t="s">
        <v>134</v>
      </c>
      <c r="C212" s="85">
        <f t="shared" si="19"/>
        <v>52</v>
      </c>
      <c r="D212" s="91" t="s">
        <v>76</v>
      </c>
      <c r="E212" s="80"/>
      <c r="F212" s="80"/>
      <c r="G212" s="80"/>
      <c r="H212" s="134">
        <f>IF(L212&lt;=0,I212*J212,I212*J212*L212)</f>
        <v>0</v>
      </c>
      <c r="I212" s="115"/>
      <c r="J212" s="116"/>
      <c r="K212" s="117"/>
      <c r="L212" s="116"/>
      <c r="M212" s="118"/>
      <c r="N212" s="96"/>
      <c r="O212" s="96"/>
      <c r="P212" s="97"/>
      <c r="Q212" s="97"/>
      <c r="R212" s="12"/>
      <c r="S212" s="12"/>
      <c r="T212" s="13"/>
      <c r="V212" s="26"/>
    </row>
    <row r="213" spans="2:22" s="7" customFormat="1" ht="49.5" hidden="1" customHeight="1">
      <c r="B213" s="145" t="s">
        <v>134</v>
      </c>
      <c r="C213" s="85">
        <f t="shared" si="19"/>
        <v>53</v>
      </c>
      <c r="D213" s="91" t="s">
        <v>76</v>
      </c>
      <c r="E213" s="80"/>
      <c r="F213" s="80"/>
      <c r="G213" s="80"/>
      <c r="H213" s="134">
        <f t="shared" ref="H213" si="23">IF(L213&lt;=0,I213*J213,I213*J213*L213)</f>
        <v>0</v>
      </c>
      <c r="I213" s="115"/>
      <c r="J213" s="116"/>
      <c r="K213" s="117"/>
      <c r="L213" s="116"/>
      <c r="M213" s="118"/>
      <c r="N213" s="96"/>
      <c r="O213" s="96"/>
      <c r="P213" s="97"/>
      <c r="Q213" s="97"/>
      <c r="R213" s="12"/>
      <c r="S213" s="12"/>
      <c r="T213" s="13"/>
      <c r="V213" s="26"/>
    </row>
    <row r="214" spans="2:22" s="7" customFormat="1" ht="49.5" hidden="1" customHeight="1">
      <c r="B214" s="145" t="s">
        <v>134</v>
      </c>
      <c r="C214" s="85">
        <f t="shared" si="19"/>
        <v>54</v>
      </c>
      <c r="D214" s="91" t="s">
        <v>76</v>
      </c>
      <c r="E214" s="80"/>
      <c r="F214" s="80"/>
      <c r="G214" s="80"/>
      <c r="H214" s="134">
        <f t="shared" ref="H214:H220" si="24">IF(L214&lt;=0,I214*J214,I214*J214*L214)</f>
        <v>0</v>
      </c>
      <c r="I214" s="115"/>
      <c r="J214" s="116"/>
      <c r="K214" s="117"/>
      <c r="L214" s="116"/>
      <c r="M214" s="118"/>
      <c r="N214" s="96"/>
      <c r="O214" s="96"/>
      <c r="P214" s="97"/>
      <c r="Q214" s="97"/>
      <c r="R214" s="12"/>
      <c r="S214" s="12"/>
      <c r="T214" s="13"/>
      <c r="V214" s="26"/>
    </row>
    <row r="215" spans="2:22" s="7" customFormat="1" ht="49.5" hidden="1" customHeight="1">
      <c r="B215" s="145" t="s">
        <v>134</v>
      </c>
      <c r="C215" s="85">
        <f t="shared" si="19"/>
        <v>55</v>
      </c>
      <c r="D215" s="91" t="s">
        <v>76</v>
      </c>
      <c r="E215" s="80"/>
      <c r="F215" s="80"/>
      <c r="G215" s="80"/>
      <c r="H215" s="134">
        <f t="shared" si="24"/>
        <v>0</v>
      </c>
      <c r="I215" s="115"/>
      <c r="J215" s="116"/>
      <c r="K215" s="117"/>
      <c r="L215" s="116"/>
      <c r="M215" s="118"/>
      <c r="N215" s="96"/>
      <c r="O215" s="96"/>
      <c r="P215" s="97"/>
      <c r="Q215" s="97"/>
      <c r="R215" s="12"/>
      <c r="S215" s="12"/>
      <c r="T215" s="13"/>
      <c r="V215" s="26"/>
    </row>
    <row r="216" spans="2:22" s="7" customFormat="1" ht="49.5" hidden="1" customHeight="1">
      <c r="B216" s="145" t="s">
        <v>134</v>
      </c>
      <c r="C216" s="85">
        <f t="shared" si="19"/>
        <v>56</v>
      </c>
      <c r="D216" s="91" t="s">
        <v>76</v>
      </c>
      <c r="E216" s="80"/>
      <c r="F216" s="80"/>
      <c r="G216" s="80"/>
      <c r="H216" s="134">
        <f t="shared" si="24"/>
        <v>0</v>
      </c>
      <c r="I216" s="115"/>
      <c r="J216" s="116"/>
      <c r="K216" s="117"/>
      <c r="L216" s="116"/>
      <c r="M216" s="118"/>
      <c r="N216" s="96"/>
      <c r="O216" s="96"/>
      <c r="P216" s="97"/>
      <c r="Q216" s="97"/>
      <c r="R216" s="12"/>
      <c r="S216" s="12"/>
      <c r="T216" s="13"/>
      <c r="V216" s="26"/>
    </row>
    <row r="217" spans="2:22" s="7" customFormat="1" ht="49.5" hidden="1" customHeight="1">
      <c r="B217" s="145" t="s">
        <v>134</v>
      </c>
      <c r="C217" s="85">
        <f t="shared" si="19"/>
        <v>57</v>
      </c>
      <c r="D217" s="91" t="s">
        <v>76</v>
      </c>
      <c r="E217" s="80"/>
      <c r="F217" s="80"/>
      <c r="G217" s="80"/>
      <c r="H217" s="134">
        <f t="shared" si="24"/>
        <v>0</v>
      </c>
      <c r="I217" s="115"/>
      <c r="J217" s="116"/>
      <c r="K217" s="117"/>
      <c r="L217" s="116"/>
      <c r="M217" s="118"/>
      <c r="N217" s="96"/>
      <c r="O217" s="96"/>
      <c r="P217" s="97"/>
      <c r="Q217" s="97"/>
      <c r="R217" s="12"/>
      <c r="S217" s="12"/>
      <c r="T217" s="13"/>
      <c r="V217" s="26"/>
    </row>
    <row r="218" spans="2:22" s="7" customFormat="1" ht="49.5" hidden="1" customHeight="1">
      <c r="B218" s="145" t="s">
        <v>134</v>
      </c>
      <c r="C218" s="85">
        <f t="shared" si="19"/>
        <v>58</v>
      </c>
      <c r="D218" s="91" t="s">
        <v>76</v>
      </c>
      <c r="E218" s="80"/>
      <c r="F218" s="80"/>
      <c r="G218" s="80"/>
      <c r="H218" s="134">
        <f t="shared" si="24"/>
        <v>0</v>
      </c>
      <c r="I218" s="115"/>
      <c r="J218" s="116"/>
      <c r="K218" s="117"/>
      <c r="L218" s="116"/>
      <c r="M218" s="118"/>
      <c r="N218" s="96"/>
      <c r="O218" s="96"/>
      <c r="P218" s="97"/>
      <c r="Q218" s="97"/>
      <c r="R218" s="12"/>
      <c r="S218" s="12"/>
      <c r="T218" s="13"/>
      <c r="V218" s="26"/>
    </row>
    <row r="219" spans="2:22" s="7" customFormat="1" ht="49.5" hidden="1" customHeight="1">
      <c r="B219" s="145" t="s">
        <v>134</v>
      </c>
      <c r="C219" s="85">
        <f t="shared" si="19"/>
        <v>59</v>
      </c>
      <c r="D219" s="91" t="s">
        <v>76</v>
      </c>
      <c r="E219" s="80"/>
      <c r="F219" s="80"/>
      <c r="G219" s="80"/>
      <c r="H219" s="134">
        <f t="shared" si="24"/>
        <v>0</v>
      </c>
      <c r="I219" s="115"/>
      <c r="J219" s="116"/>
      <c r="K219" s="117"/>
      <c r="L219" s="116"/>
      <c r="M219" s="118"/>
      <c r="N219" s="96"/>
      <c r="O219" s="96"/>
      <c r="P219" s="97"/>
      <c r="Q219" s="97"/>
      <c r="R219" s="10"/>
      <c r="S219" s="10"/>
      <c r="T219" s="11"/>
      <c r="V219" s="26"/>
    </row>
    <row r="220" spans="2:22" s="7" customFormat="1" ht="49.5" hidden="1" customHeight="1" thickBot="1">
      <c r="B220" s="146" t="s">
        <v>134</v>
      </c>
      <c r="C220" s="83">
        <f t="shared" si="19"/>
        <v>60</v>
      </c>
      <c r="D220" s="29" t="s">
        <v>76</v>
      </c>
      <c r="E220" s="82"/>
      <c r="F220" s="82"/>
      <c r="G220" s="82"/>
      <c r="H220" s="25">
        <f t="shared" si="24"/>
        <v>0</v>
      </c>
      <c r="I220" s="119"/>
      <c r="J220" s="120"/>
      <c r="K220" s="121"/>
      <c r="L220" s="120"/>
      <c r="M220" s="122"/>
      <c r="N220" s="98"/>
      <c r="O220" s="98"/>
      <c r="P220" s="99"/>
      <c r="Q220" s="99"/>
      <c r="R220" s="12"/>
      <c r="S220" s="12"/>
      <c r="T220" s="13"/>
      <c r="V220" s="26"/>
    </row>
    <row r="221" spans="2:22" s="7" customFormat="1" ht="49.5" customHeight="1" thickTop="1" thickBot="1">
      <c r="B221" s="141" t="s">
        <v>68</v>
      </c>
      <c r="C221" s="17"/>
      <c r="D221" s="92"/>
      <c r="E221" s="137"/>
      <c r="F221" s="137"/>
      <c r="G221" s="137"/>
      <c r="H221" s="18">
        <f>SUM(H161:H220)</f>
        <v>0</v>
      </c>
      <c r="I221" s="123"/>
      <c r="J221" s="124"/>
      <c r="K221" s="124"/>
      <c r="L221" s="124"/>
      <c r="M221" s="124"/>
      <c r="N221" s="100"/>
      <c r="O221" s="100"/>
      <c r="P221" s="101"/>
      <c r="Q221" s="101"/>
      <c r="R221" s="8"/>
      <c r="S221" s="8"/>
      <c r="T221" s="9"/>
    </row>
    <row r="222" spans="2:22" s="7" customFormat="1" ht="49.5" customHeight="1" thickTop="1">
      <c r="B222" s="142" t="s">
        <v>135</v>
      </c>
      <c r="C222" s="84">
        <v>1</v>
      </c>
      <c r="D222" s="28" t="s">
        <v>76</v>
      </c>
      <c r="E222" s="79"/>
      <c r="F222" s="79"/>
      <c r="G222" s="79"/>
      <c r="H222" s="136">
        <f t="shared" ref="H222:H251" si="25">IF(L222&lt;=0,I222*J222,I222*J222*L222)</f>
        <v>0</v>
      </c>
      <c r="I222" s="110"/>
      <c r="J222" s="111"/>
      <c r="K222" s="112"/>
      <c r="L222" s="113"/>
      <c r="M222" s="114"/>
      <c r="N222" s="94"/>
      <c r="O222" s="94"/>
      <c r="P222" s="95"/>
      <c r="Q222" s="95"/>
      <c r="R222" s="8"/>
      <c r="S222" s="8"/>
      <c r="T222" s="9"/>
      <c r="U222" s="89" t="s">
        <v>146</v>
      </c>
      <c r="V222" s="26"/>
    </row>
    <row r="223" spans="2:22" s="7" customFormat="1" ht="49.5" customHeight="1">
      <c r="B223" s="139" t="s">
        <v>135</v>
      </c>
      <c r="C223" s="85">
        <f>C222+1</f>
        <v>2</v>
      </c>
      <c r="D223" s="91" t="s">
        <v>76</v>
      </c>
      <c r="E223" s="80"/>
      <c r="F223" s="80"/>
      <c r="G223" s="80"/>
      <c r="H223" s="134">
        <f t="shared" ref="H223:H232" si="26">IF(L223&lt;=0,I223*J223,I223*J223*L223)</f>
        <v>0</v>
      </c>
      <c r="I223" s="115"/>
      <c r="J223" s="116"/>
      <c r="K223" s="117"/>
      <c r="L223" s="116"/>
      <c r="M223" s="118"/>
      <c r="N223" s="96"/>
      <c r="O223" s="96"/>
      <c r="P223" s="97"/>
      <c r="Q223" s="97"/>
      <c r="R223" s="10"/>
      <c r="S223" s="10"/>
      <c r="T223" s="11"/>
      <c r="V223" s="26"/>
    </row>
    <row r="224" spans="2:22" s="7" customFormat="1" ht="49.5" customHeight="1">
      <c r="B224" s="139" t="s">
        <v>135</v>
      </c>
      <c r="C224" s="85">
        <f t="shared" ref="C224:C251" si="27">C223+1</f>
        <v>3</v>
      </c>
      <c r="D224" s="91" t="s">
        <v>76</v>
      </c>
      <c r="E224" s="80"/>
      <c r="F224" s="80"/>
      <c r="G224" s="80"/>
      <c r="H224" s="134">
        <f t="shared" si="26"/>
        <v>0</v>
      </c>
      <c r="I224" s="115"/>
      <c r="J224" s="116"/>
      <c r="K224" s="117"/>
      <c r="L224" s="116"/>
      <c r="M224" s="118"/>
      <c r="N224" s="96"/>
      <c r="O224" s="96"/>
      <c r="P224" s="97"/>
      <c r="Q224" s="97"/>
      <c r="R224" s="12"/>
      <c r="S224" s="12"/>
      <c r="T224" s="13"/>
      <c r="V224" s="26"/>
    </row>
    <row r="225" spans="2:22" s="7" customFormat="1" ht="49.5" customHeight="1">
      <c r="B225" s="139" t="s">
        <v>135</v>
      </c>
      <c r="C225" s="85">
        <f t="shared" si="27"/>
        <v>4</v>
      </c>
      <c r="D225" s="91" t="s">
        <v>76</v>
      </c>
      <c r="E225" s="80"/>
      <c r="F225" s="80"/>
      <c r="G225" s="80"/>
      <c r="H225" s="134">
        <f t="shared" si="26"/>
        <v>0</v>
      </c>
      <c r="I225" s="115"/>
      <c r="J225" s="116"/>
      <c r="K225" s="117"/>
      <c r="L225" s="116"/>
      <c r="M225" s="118"/>
      <c r="N225" s="96"/>
      <c r="O225" s="96"/>
      <c r="P225" s="97"/>
      <c r="Q225" s="97"/>
      <c r="R225" s="12"/>
      <c r="S225" s="12"/>
      <c r="T225" s="13"/>
      <c r="V225" s="26"/>
    </row>
    <row r="226" spans="2:22" s="7" customFormat="1" ht="49.5" customHeight="1">
      <c r="B226" s="139" t="s">
        <v>135</v>
      </c>
      <c r="C226" s="85">
        <f t="shared" si="27"/>
        <v>5</v>
      </c>
      <c r="D226" s="91" t="s">
        <v>76</v>
      </c>
      <c r="E226" s="80"/>
      <c r="F226" s="80"/>
      <c r="G226" s="80"/>
      <c r="H226" s="134">
        <f t="shared" si="26"/>
        <v>0</v>
      </c>
      <c r="I226" s="115"/>
      <c r="J226" s="116"/>
      <c r="K226" s="117"/>
      <c r="L226" s="116"/>
      <c r="M226" s="118"/>
      <c r="N226" s="96"/>
      <c r="O226" s="96"/>
      <c r="P226" s="97"/>
      <c r="Q226" s="97"/>
      <c r="R226" s="12"/>
      <c r="S226" s="12"/>
      <c r="T226" s="13"/>
      <c r="V226" s="26"/>
    </row>
    <row r="227" spans="2:22" s="7" customFormat="1" ht="49.5" customHeight="1">
      <c r="B227" s="139" t="s">
        <v>135</v>
      </c>
      <c r="C227" s="85">
        <f t="shared" si="27"/>
        <v>6</v>
      </c>
      <c r="D227" s="91" t="s">
        <v>76</v>
      </c>
      <c r="E227" s="80"/>
      <c r="F227" s="80"/>
      <c r="G227" s="80"/>
      <c r="H227" s="134">
        <f t="shared" si="26"/>
        <v>0</v>
      </c>
      <c r="I227" s="115"/>
      <c r="J227" s="116"/>
      <c r="K227" s="117"/>
      <c r="L227" s="116"/>
      <c r="M227" s="118"/>
      <c r="N227" s="96"/>
      <c r="O227" s="96"/>
      <c r="P227" s="97"/>
      <c r="Q227" s="97"/>
      <c r="R227" s="12"/>
      <c r="S227" s="12"/>
      <c r="T227" s="13"/>
      <c r="V227" s="26"/>
    </row>
    <row r="228" spans="2:22" s="7" customFormat="1" ht="49.5" customHeight="1">
      <c r="B228" s="139" t="s">
        <v>135</v>
      </c>
      <c r="C228" s="85">
        <f t="shared" si="27"/>
        <v>7</v>
      </c>
      <c r="D228" s="91" t="s">
        <v>76</v>
      </c>
      <c r="E228" s="80"/>
      <c r="F228" s="80"/>
      <c r="G228" s="80"/>
      <c r="H228" s="134">
        <f t="shared" si="26"/>
        <v>0</v>
      </c>
      <c r="I228" s="115"/>
      <c r="J228" s="116"/>
      <c r="K228" s="117"/>
      <c r="L228" s="116"/>
      <c r="M228" s="118"/>
      <c r="N228" s="96"/>
      <c r="O228" s="96"/>
      <c r="P228" s="97"/>
      <c r="Q228" s="97"/>
      <c r="R228" s="10"/>
      <c r="S228" s="10"/>
      <c r="T228" s="11"/>
      <c r="V228" s="26"/>
    </row>
    <row r="229" spans="2:22" s="7" customFormat="1" ht="49.5" customHeight="1">
      <c r="B229" s="139" t="s">
        <v>135</v>
      </c>
      <c r="C229" s="85">
        <f t="shared" si="27"/>
        <v>8</v>
      </c>
      <c r="D229" s="91" t="s">
        <v>76</v>
      </c>
      <c r="E229" s="80"/>
      <c r="F229" s="80"/>
      <c r="G229" s="80"/>
      <c r="H229" s="134">
        <f t="shared" si="26"/>
        <v>0</v>
      </c>
      <c r="I229" s="115"/>
      <c r="J229" s="116"/>
      <c r="K229" s="117"/>
      <c r="L229" s="116"/>
      <c r="M229" s="118"/>
      <c r="N229" s="96"/>
      <c r="O229" s="96"/>
      <c r="P229" s="97"/>
      <c r="Q229" s="97"/>
      <c r="R229" s="12"/>
      <c r="S229" s="12"/>
      <c r="T229" s="13"/>
      <c r="V229" s="26"/>
    </row>
    <row r="230" spans="2:22" s="7" customFormat="1" ht="49.5" customHeight="1">
      <c r="B230" s="139" t="s">
        <v>135</v>
      </c>
      <c r="C230" s="85">
        <f t="shared" si="27"/>
        <v>9</v>
      </c>
      <c r="D230" s="91" t="s">
        <v>76</v>
      </c>
      <c r="E230" s="80"/>
      <c r="F230" s="80"/>
      <c r="G230" s="80"/>
      <c r="H230" s="134">
        <f t="shared" si="26"/>
        <v>0</v>
      </c>
      <c r="I230" s="115"/>
      <c r="J230" s="116"/>
      <c r="K230" s="117"/>
      <c r="L230" s="116"/>
      <c r="M230" s="118"/>
      <c r="N230" s="96"/>
      <c r="O230" s="96"/>
      <c r="P230" s="97"/>
      <c r="Q230" s="97"/>
      <c r="R230" s="12"/>
      <c r="S230" s="12"/>
      <c r="T230" s="13"/>
      <c r="V230" s="26"/>
    </row>
    <row r="231" spans="2:22" s="7" customFormat="1" ht="49.5" customHeight="1">
      <c r="B231" s="139" t="s">
        <v>135</v>
      </c>
      <c r="C231" s="85">
        <f t="shared" si="27"/>
        <v>10</v>
      </c>
      <c r="D231" s="91" t="s">
        <v>76</v>
      </c>
      <c r="E231" s="80"/>
      <c r="F231" s="80"/>
      <c r="G231" s="80"/>
      <c r="H231" s="134">
        <f t="shared" si="26"/>
        <v>0</v>
      </c>
      <c r="I231" s="115"/>
      <c r="J231" s="116"/>
      <c r="K231" s="117"/>
      <c r="L231" s="116"/>
      <c r="M231" s="118"/>
      <c r="N231" s="96"/>
      <c r="O231" s="96"/>
      <c r="P231" s="97"/>
      <c r="Q231" s="97"/>
      <c r="R231" s="12"/>
      <c r="S231" s="12"/>
      <c r="T231" s="13"/>
      <c r="V231" s="26"/>
    </row>
    <row r="232" spans="2:22" s="7" customFormat="1" ht="49.5" customHeight="1">
      <c r="B232" s="139" t="s">
        <v>135</v>
      </c>
      <c r="C232" s="85">
        <f t="shared" si="27"/>
        <v>11</v>
      </c>
      <c r="D232" s="91" t="s">
        <v>76</v>
      </c>
      <c r="E232" s="80"/>
      <c r="F232" s="80"/>
      <c r="G232" s="80"/>
      <c r="H232" s="134">
        <f t="shared" si="26"/>
        <v>0</v>
      </c>
      <c r="I232" s="115"/>
      <c r="J232" s="116"/>
      <c r="K232" s="117"/>
      <c r="L232" s="116"/>
      <c r="M232" s="118"/>
      <c r="N232" s="96"/>
      <c r="O232" s="96"/>
      <c r="P232" s="97"/>
      <c r="Q232" s="97"/>
      <c r="R232" s="12"/>
      <c r="S232" s="12"/>
      <c r="T232" s="13"/>
      <c r="V232" s="26"/>
    </row>
    <row r="233" spans="2:22" s="7" customFormat="1" ht="49.5" customHeight="1">
      <c r="B233" s="139" t="s">
        <v>135</v>
      </c>
      <c r="C233" s="85">
        <f t="shared" si="27"/>
        <v>12</v>
      </c>
      <c r="D233" s="91" t="s">
        <v>76</v>
      </c>
      <c r="E233" s="80"/>
      <c r="F233" s="80"/>
      <c r="G233" s="80"/>
      <c r="H233" s="134">
        <f t="shared" si="25"/>
        <v>0</v>
      </c>
      <c r="I233" s="115"/>
      <c r="J233" s="116"/>
      <c r="K233" s="117"/>
      <c r="L233" s="116"/>
      <c r="M233" s="118"/>
      <c r="N233" s="96"/>
      <c r="O233" s="96"/>
      <c r="P233" s="97"/>
      <c r="Q233" s="97"/>
      <c r="R233" s="10"/>
      <c r="S233" s="10"/>
      <c r="T233" s="11"/>
      <c r="V233" s="26"/>
    </row>
    <row r="234" spans="2:22" s="7" customFormat="1" ht="49.5" customHeight="1">
      <c r="B234" s="139" t="s">
        <v>135</v>
      </c>
      <c r="C234" s="85">
        <f t="shared" si="27"/>
        <v>13</v>
      </c>
      <c r="D234" s="91" t="s">
        <v>76</v>
      </c>
      <c r="E234" s="80"/>
      <c r="F234" s="80"/>
      <c r="G234" s="80"/>
      <c r="H234" s="134">
        <f t="shared" si="25"/>
        <v>0</v>
      </c>
      <c r="I234" s="115"/>
      <c r="J234" s="116"/>
      <c r="K234" s="117"/>
      <c r="L234" s="116"/>
      <c r="M234" s="118"/>
      <c r="N234" s="96"/>
      <c r="O234" s="96"/>
      <c r="P234" s="97"/>
      <c r="Q234" s="97"/>
      <c r="R234" s="12"/>
      <c r="S234" s="12"/>
      <c r="T234" s="13"/>
      <c r="V234" s="26"/>
    </row>
    <row r="235" spans="2:22" s="7" customFormat="1" ht="49.5" customHeight="1">
      <c r="B235" s="139" t="s">
        <v>135</v>
      </c>
      <c r="C235" s="85">
        <f t="shared" si="27"/>
        <v>14</v>
      </c>
      <c r="D235" s="91" t="s">
        <v>76</v>
      </c>
      <c r="E235" s="80"/>
      <c r="F235" s="80"/>
      <c r="G235" s="80"/>
      <c r="H235" s="134">
        <f t="shared" si="25"/>
        <v>0</v>
      </c>
      <c r="I235" s="115"/>
      <c r="J235" s="116"/>
      <c r="K235" s="117"/>
      <c r="L235" s="116"/>
      <c r="M235" s="118"/>
      <c r="N235" s="96"/>
      <c r="O235" s="96"/>
      <c r="P235" s="97"/>
      <c r="Q235" s="97"/>
      <c r="R235" s="12"/>
      <c r="S235" s="12"/>
      <c r="T235" s="13"/>
      <c r="V235" s="26"/>
    </row>
    <row r="236" spans="2:22" s="7" customFormat="1" ht="49.5" customHeight="1">
      <c r="B236" s="139" t="s">
        <v>135</v>
      </c>
      <c r="C236" s="85">
        <f t="shared" si="27"/>
        <v>15</v>
      </c>
      <c r="D236" s="91" t="s">
        <v>76</v>
      </c>
      <c r="E236" s="80"/>
      <c r="F236" s="80"/>
      <c r="G236" s="80"/>
      <c r="H236" s="134">
        <f t="shared" si="25"/>
        <v>0</v>
      </c>
      <c r="I236" s="115"/>
      <c r="J236" s="116"/>
      <c r="K236" s="117"/>
      <c r="L236" s="116"/>
      <c r="M236" s="118"/>
      <c r="N236" s="96"/>
      <c r="O236" s="96"/>
      <c r="P236" s="97"/>
      <c r="Q236" s="97"/>
      <c r="R236" s="12"/>
      <c r="S236" s="12"/>
      <c r="T236" s="13"/>
      <c r="V236" s="26"/>
    </row>
    <row r="237" spans="2:22" s="7" customFormat="1" ht="49.5" customHeight="1">
      <c r="B237" s="139" t="s">
        <v>135</v>
      </c>
      <c r="C237" s="85">
        <f t="shared" si="27"/>
        <v>16</v>
      </c>
      <c r="D237" s="91" t="s">
        <v>76</v>
      </c>
      <c r="E237" s="80"/>
      <c r="F237" s="80"/>
      <c r="G237" s="80"/>
      <c r="H237" s="134">
        <f t="shared" si="25"/>
        <v>0</v>
      </c>
      <c r="I237" s="115"/>
      <c r="J237" s="116"/>
      <c r="K237" s="117"/>
      <c r="L237" s="116"/>
      <c r="M237" s="118"/>
      <c r="N237" s="96"/>
      <c r="O237" s="96"/>
      <c r="P237" s="97"/>
      <c r="Q237" s="97"/>
      <c r="R237" s="12"/>
      <c r="S237" s="12"/>
      <c r="T237" s="13"/>
      <c r="V237" s="26"/>
    </row>
    <row r="238" spans="2:22" s="7" customFormat="1" ht="49.5" customHeight="1">
      <c r="B238" s="139" t="s">
        <v>135</v>
      </c>
      <c r="C238" s="85">
        <f t="shared" si="27"/>
        <v>17</v>
      </c>
      <c r="D238" s="91" t="s">
        <v>76</v>
      </c>
      <c r="E238" s="80"/>
      <c r="F238" s="80"/>
      <c r="G238" s="80"/>
      <c r="H238" s="134">
        <f t="shared" ref="H238:H242" si="28">IF(L238&lt;=0,I238*J238,I238*J238*L238)</f>
        <v>0</v>
      </c>
      <c r="I238" s="115"/>
      <c r="J238" s="116"/>
      <c r="K238" s="117"/>
      <c r="L238" s="116"/>
      <c r="M238" s="118"/>
      <c r="N238" s="96"/>
      <c r="O238" s="96"/>
      <c r="P238" s="97"/>
      <c r="Q238" s="97"/>
      <c r="R238" s="10"/>
      <c r="S238" s="10"/>
      <c r="T238" s="11"/>
      <c r="V238" s="26"/>
    </row>
    <row r="239" spans="2:22" s="7" customFormat="1" ht="49.5" customHeight="1">
      <c r="B239" s="139" t="s">
        <v>135</v>
      </c>
      <c r="C239" s="85">
        <f t="shared" si="27"/>
        <v>18</v>
      </c>
      <c r="D239" s="91" t="s">
        <v>76</v>
      </c>
      <c r="E239" s="80"/>
      <c r="F239" s="80"/>
      <c r="G239" s="80"/>
      <c r="H239" s="134">
        <f t="shared" si="28"/>
        <v>0</v>
      </c>
      <c r="I239" s="115"/>
      <c r="J239" s="116"/>
      <c r="K239" s="117"/>
      <c r="L239" s="116"/>
      <c r="M239" s="118"/>
      <c r="N239" s="96"/>
      <c r="O239" s="96"/>
      <c r="P239" s="97"/>
      <c r="Q239" s="97"/>
      <c r="R239" s="12"/>
      <c r="S239" s="12"/>
      <c r="T239" s="13"/>
      <c r="V239" s="26"/>
    </row>
    <row r="240" spans="2:22" s="7" customFormat="1" ht="49.5" customHeight="1">
      <c r="B240" s="139" t="s">
        <v>135</v>
      </c>
      <c r="C240" s="85">
        <f t="shared" si="27"/>
        <v>19</v>
      </c>
      <c r="D240" s="91" t="s">
        <v>76</v>
      </c>
      <c r="E240" s="80"/>
      <c r="F240" s="80"/>
      <c r="G240" s="80"/>
      <c r="H240" s="134">
        <f t="shared" si="28"/>
        <v>0</v>
      </c>
      <c r="I240" s="115"/>
      <c r="J240" s="116"/>
      <c r="K240" s="117"/>
      <c r="L240" s="116"/>
      <c r="M240" s="118"/>
      <c r="N240" s="96"/>
      <c r="O240" s="96"/>
      <c r="P240" s="97"/>
      <c r="Q240" s="97"/>
      <c r="R240" s="12"/>
      <c r="S240" s="12"/>
      <c r="T240" s="13"/>
      <c r="V240" s="26"/>
    </row>
    <row r="241" spans="2:22" s="7" customFormat="1" ht="49.5" customHeight="1">
      <c r="B241" s="139" t="s">
        <v>135</v>
      </c>
      <c r="C241" s="85">
        <f t="shared" si="27"/>
        <v>20</v>
      </c>
      <c r="D241" s="91" t="s">
        <v>76</v>
      </c>
      <c r="E241" s="80"/>
      <c r="F241" s="80"/>
      <c r="G241" s="80"/>
      <c r="H241" s="134">
        <f t="shared" si="28"/>
        <v>0</v>
      </c>
      <c r="I241" s="115"/>
      <c r="J241" s="116"/>
      <c r="K241" s="117"/>
      <c r="L241" s="116"/>
      <c r="M241" s="118"/>
      <c r="N241" s="96"/>
      <c r="O241" s="96"/>
      <c r="P241" s="97"/>
      <c r="Q241" s="97"/>
      <c r="R241" s="12"/>
      <c r="S241" s="12"/>
      <c r="T241" s="13"/>
      <c r="V241" s="26"/>
    </row>
    <row r="242" spans="2:22" s="7" customFormat="1" ht="49.5" customHeight="1">
      <c r="B242" s="139" t="s">
        <v>135</v>
      </c>
      <c r="C242" s="85">
        <f t="shared" si="27"/>
        <v>21</v>
      </c>
      <c r="D242" s="91" t="s">
        <v>76</v>
      </c>
      <c r="E242" s="80"/>
      <c r="F242" s="80"/>
      <c r="G242" s="80"/>
      <c r="H242" s="134">
        <f t="shared" si="28"/>
        <v>0</v>
      </c>
      <c r="I242" s="115"/>
      <c r="J242" s="116"/>
      <c r="K242" s="117"/>
      <c r="L242" s="116"/>
      <c r="M242" s="118"/>
      <c r="N242" s="96"/>
      <c r="O242" s="96"/>
      <c r="P242" s="97"/>
      <c r="Q242" s="97"/>
      <c r="R242" s="12"/>
      <c r="S242" s="12"/>
      <c r="T242" s="13"/>
      <c r="V242" s="26"/>
    </row>
    <row r="243" spans="2:22" s="7" customFormat="1" ht="49.5" customHeight="1">
      <c r="B243" s="139" t="s">
        <v>135</v>
      </c>
      <c r="C243" s="85">
        <f t="shared" si="27"/>
        <v>22</v>
      </c>
      <c r="D243" s="91" t="s">
        <v>76</v>
      </c>
      <c r="E243" s="80"/>
      <c r="F243" s="80"/>
      <c r="G243" s="80"/>
      <c r="H243" s="134">
        <f t="shared" si="25"/>
        <v>0</v>
      </c>
      <c r="I243" s="115"/>
      <c r="J243" s="116"/>
      <c r="K243" s="117"/>
      <c r="L243" s="116"/>
      <c r="M243" s="118"/>
      <c r="N243" s="96"/>
      <c r="O243" s="96"/>
      <c r="P243" s="97"/>
      <c r="Q243" s="97"/>
      <c r="R243" s="10"/>
      <c r="S243" s="10"/>
      <c r="T243" s="11"/>
      <c r="V243" s="26"/>
    </row>
    <row r="244" spans="2:22" s="7" customFormat="1" ht="49.5" customHeight="1">
      <c r="B244" s="139" t="s">
        <v>135</v>
      </c>
      <c r="C244" s="85">
        <f t="shared" si="27"/>
        <v>23</v>
      </c>
      <c r="D244" s="91" t="s">
        <v>76</v>
      </c>
      <c r="E244" s="80"/>
      <c r="F244" s="80"/>
      <c r="G244" s="80"/>
      <c r="H244" s="134">
        <f t="shared" si="25"/>
        <v>0</v>
      </c>
      <c r="I244" s="115"/>
      <c r="J244" s="116"/>
      <c r="K244" s="117"/>
      <c r="L244" s="116"/>
      <c r="M244" s="118"/>
      <c r="N244" s="96"/>
      <c r="O244" s="96"/>
      <c r="P244" s="97"/>
      <c r="Q244" s="97"/>
      <c r="R244" s="12"/>
      <c r="S244" s="12"/>
      <c r="T244" s="13"/>
      <c r="V244" s="26"/>
    </row>
    <row r="245" spans="2:22" s="7" customFormat="1" ht="49.5" customHeight="1">
      <c r="B245" s="139" t="s">
        <v>135</v>
      </c>
      <c r="C245" s="85">
        <f t="shared" si="27"/>
        <v>24</v>
      </c>
      <c r="D245" s="91" t="s">
        <v>76</v>
      </c>
      <c r="E245" s="80"/>
      <c r="F245" s="80"/>
      <c r="G245" s="80"/>
      <c r="H245" s="134">
        <f t="shared" si="25"/>
        <v>0</v>
      </c>
      <c r="I245" s="115"/>
      <c r="J245" s="116"/>
      <c r="K245" s="117"/>
      <c r="L245" s="116"/>
      <c r="M245" s="118"/>
      <c r="N245" s="96"/>
      <c r="O245" s="96"/>
      <c r="P245" s="97"/>
      <c r="Q245" s="97"/>
      <c r="R245" s="12"/>
      <c r="S245" s="12"/>
      <c r="T245" s="13"/>
      <c r="V245" s="26"/>
    </row>
    <row r="246" spans="2:22" s="7" customFormat="1" ht="49.5" customHeight="1">
      <c r="B246" s="139" t="s">
        <v>135</v>
      </c>
      <c r="C246" s="85">
        <f t="shared" si="27"/>
        <v>25</v>
      </c>
      <c r="D246" s="91" t="s">
        <v>76</v>
      </c>
      <c r="E246" s="80"/>
      <c r="F246" s="80"/>
      <c r="G246" s="80"/>
      <c r="H246" s="134">
        <f t="shared" si="25"/>
        <v>0</v>
      </c>
      <c r="I246" s="115"/>
      <c r="J246" s="116"/>
      <c r="K246" s="117"/>
      <c r="L246" s="116"/>
      <c r="M246" s="118"/>
      <c r="N246" s="96"/>
      <c r="O246" s="96"/>
      <c r="P246" s="97"/>
      <c r="Q246" s="97"/>
      <c r="R246" s="12"/>
      <c r="S246" s="12"/>
      <c r="T246" s="13"/>
      <c r="V246" s="26"/>
    </row>
    <row r="247" spans="2:22" s="7" customFormat="1" ht="49.5" customHeight="1">
      <c r="B247" s="139" t="s">
        <v>135</v>
      </c>
      <c r="C247" s="85">
        <f t="shared" si="27"/>
        <v>26</v>
      </c>
      <c r="D247" s="91" t="s">
        <v>76</v>
      </c>
      <c r="E247" s="80"/>
      <c r="F247" s="80"/>
      <c r="G247" s="80"/>
      <c r="H247" s="134">
        <f t="shared" si="25"/>
        <v>0</v>
      </c>
      <c r="I247" s="115"/>
      <c r="J247" s="116"/>
      <c r="K247" s="117"/>
      <c r="L247" s="116"/>
      <c r="M247" s="118"/>
      <c r="N247" s="96"/>
      <c r="O247" s="96"/>
      <c r="P247" s="97"/>
      <c r="Q247" s="97"/>
      <c r="R247" s="12"/>
      <c r="S247" s="12"/>
      <c r="T247" s="13"/>
      <c r="V247" s="26"/>
    </row>
    <row r="248" spans="2:22" s="7" customFormat="1" ht="49.5" customHeight="1">
      <c r="B248" s="139" t="s">
        <v>135</v>
      </c>
      <c r="C248" s="85">
        <f t="shared" si="27"/>
        <v>27</v>
      </c>
      <c r="D248" s="91" t="s">
        <v>76</v>
      </c>
      <c r="E248" s="80"/>
      <c r="F248" s="80"/>
      <c r="G248" s="80"/>
      <c r="H248" s="134">
        <f t="shared" si="25"/>
        <v>0</v>
      </c>
      <c r="I248" s="115"/>
      <c r="J248" s="116"/>
      <c r="K248" s="117"/>
      <c r="L248" s="116"/>
      <c r="M248" s="118"/>
      <c r="N248" s="96"/>
      <c r="O248" s="96"/>
      <c r="P248" s="97"/>
      <c r="Q248" s="97"/>
      <c r="R248" s="12"/>
      <c r="S248" s="12"/>
      <c r="T248" s="13"/>
      <c r="V248" s="26"/>
    </row>
    <row r="249" spans="2:22" s="7" customFormat="1" ht="49.5" customHeight="1">
      <c r="B249" s="139" t="s">
        <v>135</v>
      </c>
      <c r="C249" s="85">
        <f t="shared" si="27"/>
        <v>28</v>
      </c>
      <c r="D249" s="91" t="s">
        <v>76</v>
      </c>
      <c r="E249" s="80"/>
      <c r="F249" s="80"/>
      <c r="G249" s="80"/>
      <c r="H249" s="134">
        <f t="shared" si="25"/>
        <v>0</v>
      </c>
      <c r="I249" s="115"/>
      <c r="J249" s="116"/>
      <c r="K249" s="117"/>
      <c r="L249" s="116"/>
      <c r="M249" s="118"/>
      <c r="N249" s="96"/>
      <c r="O249" s="96"/>
      <c r="P249" s="97"/>
      <c r="Q249" s="97"/>
      <c r="R249" s="12"/>
      <c r="S249" s="12"/>
      <c r="T249" s="13"/>
      <c r="V249" s="26"/>
    </row>
    <row r="250" spans="2:22" s="7" customFormat="1" ht="49.5" customHeight="1">
      <c r="B250" s="139" t="s">
        <v>135</v>
      </c>
      <c r="C250" s="85">
        <f t="shared" si="27"/>
        <v>29</v>
      </c>
      <c r="D250" s="91" t="s">
        <v>76</v>
      </c>
      <c r="E250" s="80"/>
      <c r="F250" s="80"/>
      <c r="G250" s="80"/>
      <c r="H250" s="134">
        <f t="shared" si="25"/>
        <v>0</v>
      </c>
      <c r="I250" s="115"/>
      <c r="J250" s="116"/>
      <c r="K250" s="117"/>
      <c r="L250" s="116"/>
      <c r="M250" s="118"/>
      <c r="N250" s="96"/>
      <c r="O250" s="96"/>
      <c r="P250" s="97"/>
      <c r="Q250" s="97"/>
      <c r="R250" s="10"/>
      <c r="S250" s="10"/>
      <c r="T250" s="11"/>
      <c r="V250" s="26"/>
    </row>
    <row r="251" spans="2:22" s="7" customFormat="1" ht="49.5" customHeight="1" thickBot="1">
      <c r="B251" s="140" t="s">
        <v>135</v>
      </c>
      <c r="C251" s="83">
        <f t="shared" si="27"/>
        <v>30</v>
      </c>
      <c r="D251" s="29" t="s">
        <v>76</v>
      </c>
      <c r="E251" s="82"/>
      <c r="F251" s="82"/>
      <c r="G251" s="82"/>
      <c r="H251" s="25">
        <f t="shared" si="25"/>
        <v>0</v>
      </c>
      <c r="I251" s="119"/>
      <c r="J251" s="120"/>
      <c r="K251" s="121"/>
      <c r="L251" s="120"/>
      <c r="M251" s="122"/>
      <c r="N251" s="98"/>
      <c r="O251" s="98"/>
      <c r="P251" s="99"/>
      <c r="Q251" s="99"/>
      <c r="R251" s="12"/>
      <c r="S251" s="12"/>
      <c r="T251" s="13"/>
      <c r="V251" s="26"/>
    </row>
    <row r="252" spans="2:22" s="7" customFormat="1" ht="49.5" customHeight="1" thickTop="1" thickBot="1">
      <c r="B252" s="141" t="s">
        <v>68</v>
      </c>
      <c r="C252" s="17"/>
      <c r="D252" s="92"/>
      <c r="E252" s="137"/>
      <c r="F252" s="137"/>
      <c r="G252" s="137"/>
      <c r="H252" s="18">
        <f>SUM(H222:H251)</f>
        <v>0</v>
      </c>
      <c r="I252" s="123"/>
      <c r="J252" s="124"/>
      <c r="K252" s="124"/>
      <c r="L252" s="124"/>
      <c r="M252" s="124"/>
      <c r="N252" s="100"/>
      <c r="O252" s="100"/>
      <c r="P252" s="101"/>
      <c r="Q252" s="101"/>
      <c r="R252" s="8"/>
      <c r="S252" s="8"/>
      <c r="T252" s="9"/>
    </row>
    <row r="253" spans="2:22" s="7" customFormat="1" ht="49.5" customHeight="1" thickTop="1">
      <c r="B253" s="142" t="s">
        <v>136</v>
      </c>
      <c r="C253" s="84">
        <v>1</v>
      </c>
      <c r="D253" s="28" t="s">
        <v>76</v>
      </c>
      <c r="E253" s="79"/>
      <c r="F253" s="79"/>
      <c r="G253" s="79"/>
      <c r="H253" s="136">
        <f t="shared" ref="H253:H282" si="29">IF(L253&lt;=0,I253*J253,I253*J253*L253)</f>
        <v>0</v>
      </c>
      <c r="I253" s="110"/>
      <c r="J253" s="111"/>
      <c r="K253" s="112"/>
      <c r="L253" s="113"/>
      <c r="M253" s="114"/>
      <c r="N253" s="94"/>
      <c r="O253" s="94"/>
      <c r="P253" s="95"/>
      <c r="Q253" s="95"/>
      <c r="R253" s="8"/>
      <c r="S253" s="8"/>
      <c r="T253" s="9"/>
      <c r="V253" s="26"/>
    </row>
    <row r="254" spans="2:22" s="7" customFormat="1" ht="49.5" customHeight="1">
      <c r="B254" s="139" t="s">
        <v>136</v>
      </c>
      <c r="C254" s="85">
        <f>C253+1</f>
        <v>2</v>
      </c>
      <c r="D254" s="91" t="s">
        <v>76</v>
      </c>
      <c r="E254" s="80"/>
      <c r="F254" s="80"/>
      <c r="G254" s="80"/>
      <c r="H254" s="134">
        <f t="shared" ref="H254:H263" si="30">IF(L254&lt;=0,I254*J254,I254*J254*L254)</f>
        <v>0</v>
      </c>
      <c r="I254" s="115"/>
      <c r="J254" s="116"/>
      <c r="K254" s="117"/>
      <c r="L254" s="116"/>
      <c r="M254" s="118"/>
      <c r="N254" s="96"/>
      <c r="O254" s="96"/>
      <c r="P254" s="97"/>
      <c r="Q254" s="97"/>
      <c r="R254" s="10"/>
      <c r="S254" s="10"/>
      <c r="T254" s="11"/>
      <c r="V254" s="26"/>
    </row>
    <row r="255" spans="2:22" s="7" customFormat="1" ht="49.5" customHeight="1">
      <c r="B255" s="139" t="s">
        <v>136</v>
      </c>
      <c r="C255" s="85">
        <f t="shared" ref="C255:C282" si="31">C254+1</f>
        <v>3</v>
      </c>
      <c r="D255" s="91" t="s">
        <v>76</v>
      </c>
      <c r="E255" s="80"/>
      <c r="F255" s="80"/>
      <c r="G255" s="80"/>
      <c r="H255" s="134">
        <f t="shared" si="30"/>
        <v>0</v>
      </c>
      <c r="I255" s="115"/>
      <c r="J255" s="116"/>
      <c r="K255" s="117"/>
      <c r="L255" s="116"/>
      <c r="M255" s="118"/>
      <c r="N255" s="96"/>
      <c r="O255" s="96"/>
      <c r="P255" s="97"/>
      <c r="Q255" s="97"/>
      <c r="R255" s="12"/>
      <c r="S255" s="12"/>
      <c r="T255" s="13"/>
      <c r="V255" s="26"/>
    </row>
    <row r="256" spans="2:22" s="7" customFormat="1" ht="49.5" customHeight="1">
      <c r="B256" s="139" t="s">
        <v>136</v>
      </c>
      <c r="C256" s="85">
        <f t="shared" si="31"/>
        <v>4</v>
      </c>
      <c r="D256" s="91" t="s">
        <v>76</v>
      </c>
      <c r="E256" s="80"/>
      <c r="F256" s="80"/>
      <c r="G256" s="80"/>
      <c r="H256" s="134">
        <f t="shared" si="30"/>
        <v>0</v>
      </c>
      <c r="I256" s="115"/>
      <c r="J256" s="116"/>
      <c r="K256" s="117"/>
      <c r="L256" s="116"/>
      <c r="M256" s="118"/>
      <c r="N256" s="96"/>
      <c r="O256" s="96"/>
      <c r="P256" s="97"/>
      <c r="Q256" s="97"/>
      <c r="R256" s="12"/>
      <c r="S256" s="12"/>
      <c r="T256" s="13"/>
      <c r="V256" s="26"/>
    </row>
    <row r="257" spans="2:22" s="7" customFormat="1" ht="49.5" customHeight="1">
      <c r="B257" s="139" t="s">
        <v>136</v>
      </c>
      <c r="C257" s="85">
        <f t="shared" si="31"/>
        <v>5</v>
      </c>
      <c r="D257" s="91" t="s">
        <v>76</v>
      </c>
      <c r="E257" s="80"/>
      <c r="F257" s="80"/>
      <c r="G257" s="80"/>
      <c r="H257" s="134">
        <f t="shared" si="30"/>
        <v>0</v>
      </c>
      <c r="I257" s="115"/>
      <c r="J257" s="116"/>
      <c r="K257" s="117"/>
      <c r="L257" s="116"/>
      <c r="M257" s="118"/>
      <c r="N257" s="96"/>
      <c r="O257" s="96"/>
      <c r="P257" s="97"/>
      <c r="Q257" s="97"/>
      <c r="R257" s="12"/>
      <c r="S257" s="12"/>
      <c r="T257" s="13"/>
      <c r="V257" s="26"/>
    </row>
    <row r="258" spans="2:22" s="7" customFormat="1" ht="49.5" customHeight="1">
      <c r="B258" s="139" t="s">
        <v>136</v>
      </c>
      <c r="C258" s="85">
        <f t="shared" si="31"/>
        <v>6</v>
      </c>
      <c r="D258" s="91" t="s">
        <v>76</v>
      </c>
      <c r="E258" s="80"/>
      <c r="F258" s="80"/>
      <c r="G258" s="80"/>
      <c r="H258" s="134">
        <f t="shared" si="30"/>
        <v>0</v>
      </c>
      <c r="I258" s="115"/>
      <c r="J258" s="116"/>
      <c r="K258" s="117"/>
      <c r="L258" s="116"/>
      <c r="M258" s="118"/>
      <c r="N258" s="96"/>
      <c r="O258" s="96"/>
      <c r="P258" s="97"/>
      <c r="Q258" s="97"/>
      <c r="R258" s="12"/>
      <c r="S258" s="12"/>
      <c r="T258" s="13"/>
      <c r="V258" s="26"/>
    </row>
    <row r="259" spans="2:22" s="7" customFormat="1" ht="49.5" customHeight="1">
      <c r="B259" s="139" t="s">
        <v>136</v>
      </c>
      <c r="C259" s="85">
        <f t="shared" si="31"/>
        <v>7</v>
      </c>
      <c r="D259" s="91" t="s">
        <v>76</v>
      </c>
      <c r="E259" s="80"/>
      <c r="F259" s="80"/>
      <c r="G259" s="80"/>
      <c r="H259" s="134">
        <f t="shared" si="30"/>
        <v>0</v>
      </c>
      <c r="I259" s="115"/>
      <c r="J259" s="116"/>
      <c r="K259" s="117"/>
      <c r="L259" s="116"/>
      <c r="M259" s="118"/>
      <c r="N259" s="96"/>
      <c r="O259" s="96"/>
      <c r="P259" s="97"/>
      <c r="Q259" s="97"/>
      <c r="R259" s="10"/>
      <c r="S259" s="10"/>
      <c r="T259" s="11"/>
      <c r="V259" s="26"/>
    </row>
    <row r="260" spans="2:22" s="7" customFormat="1" ht="49.5" customHeight="1">
      <c r="B260" s="139" t="s">
        <v>136</v>
      </c>
      <c r="C260" s="85">
        <f t="shared" si="31"/>
        <v>8</v>
      </c>
      <c r="D260" s="91" t="s">
        <v>76</v>
      </c>
      <c r="E260" s="80"/>
      <c r="F260" s="80"/>
      <c r="G260" s="80"/>
      <c r="H260" s="134">
        <f t="shared" si="30"/>
        <v>0</v>
      </c>
      <c r="I260" s="115"/>
      <c r="J260" s="116"/>
      <c r="K260" s="117"/>
      <c r="L260" s="116"/>
      <c r="M260" s="118"/>
      <c r="N260" s="96"/>
      <c r="O260" s="96"/>
      <c r="P260" s="97"/>
      <c r="Q260" s="97"/>
      <c r="R260" s="12"/>
      <c r="S260" s="12"/>
      <c r="T260" s="13"/>
      <c r="V260" s="26"/>
    </row>
    <row r="261" spans="2:22" s="7" customFormat="1" ht="49.5" customHeight="1">
      <c r="B261" s="139" t="s">
        <v>136</v>
      </c>
      <c r="C261" s="85">
        <f t="shared" si="31"/>
        <v>9</v>
      </c>
      <c r="D261" s="91" t="s">
        <v>76</v>
      </c>
      <c r="E261" s="80"/>
      <c r="F261" s="80"/>
      <c r="G261" s="80"/>
      <c r="H261" s="134">
        <f t="shared" si="30"/>
        <v>0</v>
      </c>
      <c r="I261" s="115"/>
      <c r="J261" s="116"/>
      <c r="K261" s="117"/>
      <c r="L261" s="116"/>
      <c r="M261" s="118"/>
      <c r="N261" s="96"/>
      <c r="O261" s="96"/>
      <c r="P261" s="97"/>
      <c r="Q261" s="97"/>
      <c r="R261" s="12"/>
      <c r="S261" s="12"/>
      <c r="T261" s="13"/>
      <c r="V261" s="26"/>
    </row>
    <row r="262" spans="2:22" s="7" customFormat="1" ht="49.5" customHeight="1">
      <c r="B262" s="139" t="s">
        <v>136</v>
      </c>
      <c r="C262" s="85">
        <f t="shared" si="31"/>
        <v>10</v>
      </c>
      <c r="D262" s="91" t="s">
        <v>76</v>
      </c>
      <c r="E262" s="80"/>
      <c r="F262" s="80"/>
      <c r="G262" s="80"/>
      <c r="H262" s="134">
        <f t="shared" si="30"/>
        <v>0</v>
      </c>
      <c r="I262" s="115"/>
      <c r="J262" s="116"/>
      <c r="K262" s="117"/>
      <c r="L262" s="116"/>
      <c r="M262" s="118"/>
      <c r="N262" s="96"/>
      <c r="O262" s="96"/>
      <c r="P262" s="97"/>
      <c r="Q262" s="97"/>
      <c r="R262" s="12"/>
      <c r="S262" s="12"/>
      <c r="T262" s="13"/>
      <c r="V262" s="26"/>
    </row>
    <row r="263" spans="2:22" s="7" customFormat="1" ht="49.5" customHeight="1">
      <c r="B263" s="139" t="s">
        <v>136</v>
      </c>
      <c r="C263" s="85">
        <f t="shared" si="31"/>
        <v>11</v>
      </c>
      <c r="D263" s="91" t="s">
        <v>76</v>
      </c>
      <c r="E263" s="80"/>
      <c r="F263" s="80"/>
      <c r="G263" s="80"/>
      <c r="H263" s="134">
        <f t="shared" si="30"/>
        <v>0</v>
      </c>
      <c r="I263" s="115"/>
      <c r="J263" s="116"/>
      <c r="K263" s="117"/>
      <c r="L263" s="116"/>
      <c r="M263" s="118"/>
      <c r="N263" s="96"/>
      <c r="O263" s="96"/>
      <c r="P263" s="97"/>
      <c r="Q263" s="97"/>
      <c r="R263" s="12"/>
      <c r="S263" s="12"/>
      <c r="T263" s="13"/>
      <c r="V263" s="26"/>
    </row>
    <row r="264" spans="2:22" s="7" customFormat="1" ht="49.5" customHeight="1">
      <c r="B264" s="139" t="s">
        <v>136</v>
      </c>
      <c r="C264" s="85">
        <f t="shared" si="31"/>
        <v>12</v>
      </c>
      <c r="D264" s="91" t="s">
        <v>76</v>
      </c>
      <c r="E264" s="80"/>
      <c r="F264" s="80"/>
      <c r="G264" s="80"/>
      <c r="H264" s="134">
        <f t="shared" si="29"/>
        <v>0</v>
      </c>
      <c r="I264" s="115"/>
      <c r="J264" s="116"/>
      <c r="K264" s="117"/>
      <c r="L264" s="116"/>
      <c r="M264" s="118"/>
      <c r="N264" s="96"/>
      <c r="O264" s="96"/>
      <c r="P264" s="97"/>
      <c r="Q264" s="97"/>
      <c r="R264" s="10"/>
      <c r="S264" s="10"/>
      <c r="T264" s="11"/>
      <c r="V264" s="26"/>
    </row>
    <row r="265" spans="2:22" s="7" customFormat="1" ht="49.5" customHeight="1">
      <c r="B265" s="139" t="s">
        <v>136</v>
      </c>
      <c r="C265" s="85">
        <f t="shared" si="31"/>
        <v>13</v>
      </c>
      <c r="D265" s="91" t="s">
        <v>76</v>
      </c>
      <c r="E265" s="80"/>
      <c r="F265" s="80"/>
      <c r="G265" s="80"/>
      <c r="H265" s="134">
        <f t="shared" si="29"/>
        <v>0</v>
      </c>
      <c r="I265" s="115"/>
      <c r="J265" s="116"/>
      <c r="K265" s="117"/>
      <c r="L265" s="116"/>
      <c r="M265" s="118"/>
      <c r="N265" s="96"/>
      <c r="O265" s="96"/>
      <c r="P265" s="97"/>
      <c r="Q265" s="97"/>
      <c r="R265" s="12"/>
      <c r="S265" s="12"/>
      <c r="T265" s="13"/>
      <c r="V265" s="26"/>
    </row>
    <row r="266" spans="2:22" s="7" customFormat="1" ht="49.5" customHeight="1">
      <c r="B266" s="139" t="s">
        <v>136</v>
      </c>
      <c r="C266" s="85">
        <f t="shared" si="31"/>
        <v>14</v>
      </c>
      <c r="D266" s="91" t="s">
        <v>76</v>
      </c>
      <c r="E266" s="80"/>
      <c r="F266" s="80"/>
      <c r="G266" s="80"/>
      <c r="H266" s="134">
        <f t="shared" si="29"/>
        <v>0</v>
      </c>
      <c r="I266" s="115"/>
      <c r="J266" s="116"/>
      <c r="K266" s="117"/>
      <c r="L266" s="116"/>
      <c r="M266" s="118"/>
      <c r="N266" s="96"/>
      <c r="O266" s="96"/>
      <c r="P266" s="97"/>
      <c r="Q266" s="97"/>
      <c r="R266" s="12"/>
      <c r="S266" s="12"/>
      <c r="T266" s="13"/>
      <c r="V266" s="26"/>
    </row>
    <row r="267" spans="2:22" s="7" customFormat="1" ht="49.5" customHeight="1">
      <c r="B267" s="139" t="s">
        <v>136</v>
      </c>
      <c r="C267" s="85">
        <f t="shared" si="31"/>
        <v>15</v>
      </c>
      <c r="D267" s="91" t="s">
        <v>76</v>
      </c>
      <c r="E267" s="80"/>
      <c r="F267" s="80"/>
      <c r="G267" s="80"/>
      <c r="H267" s="134">
        <f t="shared" si="29"/>
        <v>0</v>
      </c>
      <c r="I267" s="115"/>
      <c r="J267" s="116"/>
      <c r="K267" s="117"/>
      <c r="L267" s="116"/>
      <c r="M267" s="118"/>
      <c r="N267" s="96"/>
      <c r="O267" s="96"/>
      <c r="P267" s="97"/>
      <c r="Q267" s="97"/>
      <c r="R267" s="12"/>
      <c r="S267" s="12"/>
      <c r="T267" s="13"/>
      <c r="V267" s="26"/>
    </row>
    <row r="268" spans="2:22" s="7" customFormat="1" ht="49.5" customHeight="1">
      <c r="B268" s="139" t="s">
        <v>136</v>
      </c>
      <c r="C268" s="85">
        <f t="shared" si="31"/>
        <v>16</v>
      </c>
      <c r="D268" s="91" t="s">
        <v>76</v>
      </c>
      <c r="E268" s="80"/>
      <c r="F268" s="80"/>
      <c r="G268" s="80"/>
      <c r="H268" s="134">
        <f t="shared" si="29"/>
        <v>0</v>
      </c>
      <c r="I268" s="115"/>
      <c r="J268" s="116"/>
      <c r="K268" s="117"/>
      <c r="L268" s="116"/>
      <c r="M268" s="118"/>
      <c r="N268" s="96"/>
      <c r="O268" s="96"/>
      <c r="P268" s="97"/>
      <c r="Q268" s="97"/>
      <c r="R268" s="12"/>
      <c r="S268" s="12"/>
      <c r="T268" s="13"/>
      <c r="V268" s="26"/>
    </row>
    <row r="269" spans="2:22" s="7" customFormat="1" ht="49.5" customHeight="1">
      <c r="B269" s="139" t="s">
        <v>136</v>
      </c>
      <c r="C269" s="85">
        <f t="shared" si="31"/>
        <v>17</v>
      </c>
      <c r="D269" s="91" t="s">
        <v>76</v>
      </c>
      <c r="E269" s="80"/>
      <c r="F269" s="80"/>
      <c r="G269" s="80"/>
      <c r="H269" s="134">
        <f t="shared" si="29"/>
        <v>0</v>
      </c>
      <c r="I269" s="115"/>
      <c r="J269" s="116"/>
      <c r="K269" s="117"/>
      <c r="L269" s="116"/>
      <c r="M269" s="118"/>
      <c r="N269" s="96"/>
      <c r="O269" s="96"/>
      <c r="P269" s="97"/>
      <c r="Q269" s="97"/>
      <c r="R269" s="10"/>
      <c r="S269" s="10"/>
      <c r="T269" s="11"/>
      <c r="V269" s="26"/>
    </row>
    <row r="270" spans="2:22" s="7" customFormat="1" ht="49.5" customHeight="1">
      <c r="B270" s="139" t="s">
        <v>136</v>
      </c>
      <c r="C270" s="85">
        <f t="shared" si="31"/>
        <v>18</v>
      </c>
      <c r="D270" s="91" t="s">
        <v>76</v>
      </c>
      <c r="E270" s="80"/>
      <c r="F270" s="80"/>
      <c r="G270" s="80"/>
      <c r="H270" s="134">
        <f t="shared" si="29"/>
        <v>0</v>
      </c>
      <c r="I270" s="115"/>
      <c r="J270" s="116"/>
      <c r="K270" s="117"/>
      <c r="L270" s="116"/>
      <c r="M270" s="118"/>
      <c r="N270" s="96"/>
      <c r="O270" s="96"/>
      <c r="P270" s="97"/>
      <c r="Q270" s="97"/>
      <c r="R270" s="12"/>
      <c r="S270" s="12"/>
      <c r="T270" s="13"/>
      <c r="V270" s="26"/>
    </row>
    <row r="271" spans="2:22" s="7" customFormat="1" ht="49.5" customHeight="1">
      <c r="B271" s="139" t="s">
        <v>136</v>
      </c>
      <c r="C271" s="85">
        <f t="shared" si="31"/>
        <v>19</v>
      </c>
      <c r="D271" s="91" t="s">
        <v>76</v>
      </c>
      <c r="E271" s="80"/>
      <c r="F271" s="80"/>
      <c r="G271" s="80"/>
      <c r="H271" s="134">
        <f t="shared" si="29"/>
        <v>0</v>
      </c>
      <c r="I271" s="115"/>
      <c r="J271" s="116"/>
      <c r="K271" s="117"/>
      <c r="L271" s="116"/>
      <c r="M271" s="118"/>
      <c r="N271" s="96"/>
      <c r="O271" s="96"/>
      <c r="P271" s="97"/>
      <c r="Q271" s="97"/>
      <c r="R271" s="12"/>
      <c r="S271" s="12"/>
      <c r="T271" s="13"/>
      <c r="V271" s="26"/>
    </row>
    <row r="272" spans="2:22" s="7" customFormat="1" ht="49.5" customHeight="1">
      <c r="B272" s="139" t="s">
        <v>136</v>
      </c>
      <c r="C272" s="85">
        <f t="shared" si="31"/>
        <v>20</v>
      </c>
      <c r="D272" s="91" t="s">
        <v>76</v>
      </c>
      <c r="E272" s="80"/>
      <c r="F272" s="80"/>
      <c r="G272" s="80"/>
      <c r="H272" s="134">
        <f t="shared" si="29"/>
        <v>0</v>
      </c>
      <c r="I272" s="115"/>
      <c r="J272" s="116"/>
      <c r="K272" s="117"/>
      <c r="L272" s="116"/>
      <c r="M272" s="118"/>
      <c r="N272" s="96"/>
      <c r="O272" s="96"/>
      <c r="P272" s="97"/>
      <c r="Q272" s="97"/>
      <c r="R272" s="12"/>
      <c r="S272" s="12"/>
      <c r="T272" s="13"/>
      <c r="V272" s="26"/>
    </row>
    <row r="273" spans="2:22" s="7" customFormat="1" ht="49.5" customHeight="1">
      <c r="B273" s="139" t="s">
        <v>136</v>
      </c>
      <c r="C273" s="85">
        <f t="shared" si="31"/>
        <v>21</v>
      </c>
      <c r="D273" s="91" t="s">
        <v>76</v>
      </c>
      <c r="E273" s="80"/>
      <c r="F273" s="80"/>
      <c r="G273" s="80"/>
      <c r="H273" s="134">
        <f t="shared" si="29"/>
        <v>0</v>
      </c>
      <c r="I273" s="115"/>
      <c r="J273" s="116"/>
      <c r="K273" s="117"/>
      <c r="L273" s="116"/>
      <c r="M273" s="118"/>
      <c r="N273" s="96"/>
      <c r="O273" s="96"/>
      <c r="P273" s="97"/>
      <c r="Q273" s="97"/>
      <c r="R273" s="12"/>
      <c r="S273" s="12"/>
      <c r="T273" s="13"/>
      <c r="V273" s="26"/>
    </row>
    <row r="274" spans="2:22" s="7" customFormat="1" ht="49.5" customHeight="1">
      <c r="B274" s="139" t="s">
        <v>136</v>
      </c>
      <c r="C274" s="85">
        <f t="shared" si="31"/>
        <v>22</v>
      </c>
      <c r="D274" s="91" t="s">
        <v>76</v>
      </c>
      <c r="E274" s="80"/>
      <c r="F274" s="80"/>
      <c r="G274" s="80"/>
      <c r="H274" s="134">
        <f t="shared" ref="H274:H278" si="32">IF(L274&lt;=0,I274*J274,I274*J274*L274)</f>
        <v>0</v>
      </c>
      <c r="I274" s="115"/>
      <c r="J274" s="116"/>
      <c r="K274" s="117"/>
      <c r="L274" s="116"/>
      <c r="M274" s="118"/>
      <c r="N274" s="96"/>
      <c r="O274" s="96"/>
      <c r="P274" s="97"/>
      <c r="Q274" s="97"/>
      <c r="R274" s="10"/>
      <c r="S274" s="10"/>
      <c r="T274" s="11"/>
      <c r="V274" s="26"/>
    </row>
    <row r="275" spans="2:22" s="7" customFormat="1" ht="49.5" customHeight="1">
      <c r="B275" s="139" t="s">
        <v>136</v>
      </c>
      <c r="C275" s="85">
        <f t="shared" si="31"/>
        <v>23</v>
      </c>
      <c r="D275" s="91" t="s">
        <v>76</v>
      </c>
      <c r="E275" s="80"/>
      <c r="F275" s="80"/>
      <c r="G275" s="80"/>
      <c r="H275" s="134">
        <f t="shared" si="32"/>
        <v>0</v>
      </c>
      <c r="I275" s="115"/>
      <c r="J275" s="116"/>
      <c r="K275" s="117"/>
      <c r="L275" s="116"/>
      <c r="M275" s="118"/>
      <c r="N275" s="96"/>
      <c r="O275" s="96"/>
      <c r="P275" s="97"/>
      <c r="Q275" s="97"/>
      <c r="R275" s="12"/>
      <c r="S275" s="12"/>
      <c r="T275" s="13"/>
      <c r="V275" s="26"/>
    </row>
    <row r="276" spans="2:22" s="7" customFormat="1" ht="49.5" customHeight="1">
      <c r="B276" s="139" t="s">
        <v>136</v>
      </c>
      <c r="C276" s="85">
        <f t="shared" si="31"/>
        <v>24</v>
      </c>
      <c r="D276" s="91" t="s">
        <v>76</v>
      </c>
      <c r="E276" s="80"/>
      <c r="F276" s="80"/>
      <c r="G276" s="80"/>
      <c r="H276" s="134">
        <f t="shared" si="32"/>
        <v>0</v>
      </c>
      <c r="I276" s="115"/>
      <c r="J276" s="116"/>
      <c r="K276" s="117"/>
      <c r="L276" s="116"/>
      <c r="M276" s="118"/>
      <c r="N276" s="96"/>
      <c r="O276" s="96"/>
      <c r="P276" s="97"/>
      <c r="Q276" s="97"/>
      <c r="R276" s="12"/>
      <c r="S276" s="12"/>
      <c r="T276" s="13"/>
      <c r="V276" s="26"/>
    </row>
    <row r="277" spans="2:22" s="7" customFormat="1" ht="49.5" customHeight="1">
      <c r="B277" s="139" t="s">
        <v>136</v>
      </c>
      <c r="C277" s="85">
        <f t="shared" si="31"/>
        <v>25</v>
      </c>
      <c r="D277" s="91" t="s">
        <v>76</v>
      </c>
      <c r="E277" s="80"/>
      <c r="F277" s="80"/>
      <c r="G277" s="80"/>
      <c r="H277" s="134">
        <f t="shared" si="32"/>
        <v>0</v>
      </c>
      <c r="I277" s="115"/>
      <c r="J277" s="116"/>
      <c r="K277" s="117"/>
      <c r="L277" s="116"/>
      <c r="M277" s="118"/>
      <c r="N277" s="96"/>
      <c r="O277" s="96"/>
      <c r="P277" s="97"/>
      <c r="Q277" s="97"/>
      <c r="R277" s="12"/>
      <c r="S277" s="12"/>
      <c r="T277" s="13"/>
      <c r="V277" s="26"/>
    </row>
    <row r="278" spans="2:22" s="7" customFormat="1" ht="49.5" customHeight="1">
      <c r="B278" s="139" t="s">
        <v>136</v>
      </c>
      <c r="C278" s="85">
        <f t="shared" si="31"/>
        <v>26</v>
      </c>
      <c r="D278" s="91" t="s">
        <v>76</v>
      </c>
      <c r="E278" s="80"/>
      <c r="F278" s="80"/>
      <c r="G278" s="80"/>
      <c r="H278" s="134">
        <f t="shared" si="32"/>
        <v>0</v>
      </c>
      <c r="I278" s="115"/>
      <c r="J278" s="116"/>
      <c r="K278" s="117"/>
      <c r="L278" s="116"/>
      <c r="M278" s="118"/>
      <c r="N278" s="96"/>
      <c r="O278" s="96"/>
      <c r="P278" s="97"/>
      <c r="Q278" s="97"/>
      <c r="R278" s="12"/>
      <c r="S278" s="12"/>
      <c r="T278" s="13"/>
      <c r="V278" s="26"/>
    </row>
    <row r="279" spans="2:22" s="7" customFormat="1" ht="49.5" customHeight="1">
      <c r="B279" s="139" t="s">
        <v>136</v>
      </c>
      <c r="C279" s="85">
        <f t="shared" si="31"/>
        <v>27</v>
      </c>
      <c r="D279" s="91" t="s">
        <v>76</v>
      </c>
      <c r="E279" s="80"/>
      <c r="F279" s="80"/>
      <c r="G279" s="80"/>
      <c r="H279" s="134">
        <f t="shared" si="29"/>
        <v>0</v>
      </c>
      <c r="I279" s="115"/>
      <c r="J279" s="116"/>
      <c r="K279" s="117"/>
      <c r="L279" s="116"/>
      <c r="M279" s="118"/>
      <c r="N279" s="96"/>
      <c r="O279" s="96"/>
      <c r="P279" s="97"/>
      <c r="Q279" s="97"/>
      <c r="R279" s="12"/>
      <c r="S279" s="12"/>
      <c r="T279" s="13"/>
      <c r="V279" s="26"/>
    </row>
    <row r="280" spans="2:22" s="7" customFormat="1" ht="49.5" customHeight="1">
      <c r="B280" s="139" t="s">
        <v>136</v>
      </c>
      <c r="C280" s="85">
        <f t="shared" si="31"/>
        <v>28</v>
      </c>
      <c r="D280" s="91" t="s">
        <v>76</v>
      </c>
      <c r="E280" s="80"/>
      <c r="F280" s="80"/>
      <c r="G280" s="80"/>
      <c r="H280" s="134">
        <f t="shared" si="29"/>
        <v>0</v>
      </c>
      <c r="I280" s="115"/>
      <c r="J280" s="116"/>
      <c r="K280" s="117"/>
      <c r="L280" s="116"/>
      <c r="M280" s="118"/>
      <c r="N280" s="96"/>
      <c r="O280" s="96"/>
      <c r="P280" s="97"/>
      <c r="Q280" s="97"/>
      <c r="R280" s="12"/>
      <c r="S280" s="12"/>
      <c r="T280" s="13"/>
      <c r="V280" s="26"/>
    </row>
    <row r="281" spans="2:22" s="7" customFormat="1" ht="49.5" customHeight="1">
      <c r="B281" s="139" t="s">
        <v>136</v>
      </c>
      <c r="C281" s="85">
        <f t="shared" si="31"/>
        <v>29</v>
      </c>
      <c r="D281" s="91" t="s">
        <v>76</v>
      </c>
      <c r="E281" s="80"/>
      <c r="F281" s="80"/>
      <c r="G281" s="80"/>
      <c r="H281" s="134">
        <f t="shared" si="29"/>
        <v>0</v>
      </c>
      <c r="I281" s="115"/>
      <c r="J281" s="116"/>
      <c r="K281" s="117"/>
      <c r="L281" s="116"/>
      <c r="M281" s="118"/>
      <c r="N281" s="96"/>
      <c r="O281" s="96"/>
      <c r="P281" s="97"/>
      <c r="Q281" s="97"/>
      <c r="R281" s="10"/>
      <c r="S281" s="10"/>
      <c r="T281" s="11"/>
      <c r="V281" s="26"/>
    </row>
    <row r="282" spans="2:22" s="7" customFormat="1" ht="49.5" customHeight="1" thickBot="1">
      <c r="B282" s="140" t="s">
        <v>136</v>
      </c>
      <c r="C282" s="83">
        <f t="shared" si="31"/>
        <v>30</v>
      </c>
      <c r="D282" s="29" t="s">
        <v>76</v>
      </c>
      <c r="E282" s="82"/>
      <c r="F282" s="82"/>
      <c r="G282" s="82"/>
      <c r="H282" s="25">
        <f t="shared" si="29"/>
        <v>0</v>
      </c>
      <c r="I282" s="119"/>
      <c r="J282" s="120"/>
      <c r="K282" s="121"/>
      <c r="L282" s="120"/>
      <c r="M282" s="122"/>
      <c r="N282" s="98"/>
      <c r="O282" s="98"/>
      <c r="P282" s="99"/>
      <c r="Q282" s="99"/>
      <c r="R282" s="12"/>
      <c r="S282" s="12"/>
      <c r="T282" s="13"/>
      <c r="V282" s="26"/>
    </row>
    <row r="283" spans="2:22" s="7" customFormat="1" ht="49.5" customHeight="1" thickTop="1" thickBot="1">
      <c r="B283" s="141" t="s">
        <v>68</v>
      </c>
      <c r="C283" s="17"/>
      <c r="D283" s="92"/>
      <c r="E283" s="137"/>
      <c r="F283" s="137"/>
      <c r="G283" s="137"/>
      <c r="H283" s="18">
        <f>SUM(H253:H282)</f>
        <v>0</v>
      </c>
      <c r="I283" s="123"/>
      <c r="J283" s="124"/>
      <c r="K283" s="124"/>
      <c r="L283" s="124"/>
      <c r="M283" s="124"/>
      <c r="N283" s="100"/>
      <c r="O283" s="100"/>
      <c r="P283" s="101"/>
      <c r="Q283" s="101"/>
      <c r="R283" s="8"/>
      <c r="S283" s="8"/>
      <c r="T283" s="9"/>
    </row>
    <row r="284" spans="2:22" s="7" customFormat="1" ht="49.5" customHeight="1" thickTop="1">
      <c r="B284" s="142" t="s">
        <v>137</v>
      </c>
      <c r="C284" s="84">
        <v>1</v>
      </c>
      <c r="D284" s="28" t="s">
        <v>76</v>
      </c>
      <c r="E284" s="79"/>
      <c r="F284" s="79"/>
      <c r="G284" s="79"/>
      <c r="H284" s="136">
        <f t="shared" ref="H284:H313" si="33">IF(L284&lt;=0,I284*J284,I284*J284*L284)</f>
        <v>0</v>
      </c>
      <c r="I284" s="110"/>
      <c r="J284" s="111"/>
      <c r="K284" s="112"/>
      <c r="L284" s="113"/>
      <c r="M284" s="114"/>
      <c r="N284" s="94"/>
      <c r="O284" s="94"/>
      <c r="P284" s="95"/>
      <c r="Q284" s="95"/>
      <c r="R284" s="8"/>
      <c r="S284" s="8"/>
      <c r="T284" s="9"/>
      <c r="V284" s="26"/>
    </row>
    <row r="285" spans="2:22" s="7" customFormat="1" ht="49.5" customHeight="1">
      <c r="B285" s="139" t="s">
        <v>137</v>
      </c>
      <c r="C285" s="85">
        <f>C284+1</f>
        <v>2</v>
      </c>
      <c r="D285" s="91" t="s">
        <v>76</v>
      </c>
      <c r="E285" s="80"/>
      <c r="F285" s="80"/>
      <c r="G285" s="80"/>
      <c r="H285" s="134">
        <f t="shared" ref="H285:H294" si="34">IF(L285&lt;=0,I285*J285,I285*J285*L285)</f>
        <v>0</v>
      </c>
      <c r="I285" s="115"/>
      <c r="J285" s="116"/>
      <c r="K285" s="117"/>
      <c r="L285" s="116"/>
      <c r="M285" s="118"/>
      <c r="N285" s="96"/>
      <c r="O285" s="96"/>
      <c r="P285" s="97"/>
      <c r="Q285" s="97"/>
      <c r="R285" s="10"/>
      <c r="S285" s="10"/>
      <c r="T285" s="11"/>
      <c r="V285" s="26"/>
    </row>
    <row r="286" spans="2:22" s="7" customFormat="1" ht="49.5" customHeight="1">
      <c r="B286" s="139" t="s">
        <v>137</v>
      </c>
      <c r="C286" s="85">
        <f t="shared" ref="C286:C313" si="35">C285+1</f>
        <v>3</v>
      </c>
      <c r="D286" s="91" t="s">
        <v>76</v>
      </c>
      <c r="E286" s="80"/>
      <c r="F286" s="80"/>
      <c r="G286" s="80"/>
      <c r="H286" s="134">
        <f t="shared" si="34"/>
        <v>0</v>
      </c>
      <c r="I286" s="115"/>
      <c r="J286" s="116"/>
      <c r="K286" s="117"/>
      <c r="L286" s="116"/>
      <c r="M286" s="118"/>
      <c r="N286" s="96"/>
      <c r="O286" s="96"/>
      <c r="P286" s="97"/>
      <c r="Q286" s="97"/>
      <c r="R286" s="12"/>
      <c r="S286" s="12"/>
      <c r="T286" s="13"/>
      <c r="V286" s="26"/>
    </row>
    <row r="287" spans="2:22" s="7" customFormat="1" ht="49.5" customHeight="1">
      <c r="B287" s="139" t="s">
        <v>137</v>
      </c>
      <c r="C287" s="85">
        <f t="shared" si="35"/>
        <v>4</v>
      </c>
      <c r="D287" s="91" t="s">
        <v>76</v>
      </c>
      <c r="E287" s="80"/>
      <c r="F287" s="80"/>
      <c r="G287" s="80"/>
      <c r="H287" s="134">
        <f t="shared" si="34"/>
        <v>0</v>
      </c>
      <c r="I287" s="115"/>
      <c r="J287" s="116"/>
      <c r="K287" s="117"/>
      <c r="L287" s="116"/>
      <c r="M287" s="118"/>
      <c r="N287" s="96"/>
      <c r="O287" s="96"/>
      <c r="P287" s="97"/>
      <c r="Q287" s="97"/>
      <c r="R287" s="12"/>
      <c r="S287" s="12"/>
      <c r="T287" s="13"/>
      <c r="V287" s="26"/>
    </row>
    <row r="288" spans="2:22" s="7" customFormat="1" ht="49.5" customHeight="1">
      <c r="B288" s="139" t="s">
        <v>137</v>
      </c>
      <c r="C288" s="85">
        <f t="shared" si="35"/>
        <v>5</v>
      </c>
      <c r="D288" s="91" t="s">
        <v>76</v>
      </c>
      <c r="E288" s="80"/>
      <c r="F288" s="80"/>
      <c r="G288" s="80"/>
      <c r="H288" s="134">
        <f t="shared" si="34"/>
        <v>0</v>
      </c>
      <c r="I288" s="115"/>
      <c r="J288" s="116"/>
      <c r="K288" s="117"/>
      <c r="L288" s="116"/>
      <c r="M288" s="118"/>
      <c r="N288" s="96"/>
      <c r="O288" s="96"/>
      <c r="P288" s="97"/>
      <c r="Q288" s="97"/>
      <c r="R288" s="12"/>
      <c r="S288" s="12"/>
      <c r="T288" s="13"/>
      <c r="V288" s="26"/>
    </row>
    <row r="289" spans="2:22" s="7" customFormat="1" ht="49.5" customHeight="1">
      <c r="B289" s="139" t="s">
        <v>137</v>
      </c>
      <c r="C289" s="85">
        <f t="shared" si="35"/>
        <v>6</v>
      </c>
      <c r="D289" s="91" t="s">
        <v>76</v>
      </c>
      <c r="E289" s="80"/>
      <c r="F289" s="80"/>
      <c r="G289" s="80"/>
      <c r="H289" s="134">
        <f t="shared" si="34"/>
        <v>0</v>
      </c>
      <c r="I289" s="115"/>
      <c r="J289" s="116"/>
      <c r="K289" s="117"/>
      <c r="L289" s="116"/>
      <c r="M289" s="118"/>
      <c r="N289" s="96"/>
      <c r="O289" s="96"/>
      <c r="P289" s="97"/>
      <c r="Q289" s="97"/>
      <c r="R289" s="12"/>
      <c r="S289" s="12"/>
      <c r="T289" s="13"/>
      <c r="V289" s="26"/>
    </row>
    <row r="290" spans="2:22" s="7" customFormat="1" ht="49.5" customHeight="1">
      <c r="B290" s="139" t="s">
        <v>137</v>
      </c>
      <c r="C290" s="85">
        <f t="shared" si="35"/>
        <v>7</v>
      </c>
      <c r="D290" s="91" t="s">
        <v>76</v>
      </c>
      <c r="E290" s="80"/>
      <c r="F290" s="80"/>
      <c r="G290" s="80"/>
      <c r="H290" s="134">
        <f t="shared" si="34"/>
        <v>0</v>
      </c>
      <c r="I290" s="115"/>
      <c r="J290" s="116"/>
      <c r="K290" s="117"/>
      <c r="L290" s="116"/>
      <c r="M290" s="118"/>
      <c r="N290" s="96"/>
      <c r="O290" s="96"/>
      <c r="P290" s="97"/>
      <c r="Q290" s="97"/>
      <c r="R290" s="10"/>
      <c r="S290" s="10"/>
      <c r="T290" s="11"/>
      <c r="V290" s="26"/>
    </row>
    <row r="291" spans="2:22" s="7" customFormat="1" ht="49.5" customHeight="1">
      <c r="B291" s="139" t="s">
        <v>137</v>
      </c>
      <c r="C291" s="85">
        <f t="shared" si="35"/>
        <v>8</v>
      </c>
      <c r="D291" s="91" t="s">
        <v>76</v>
      </c>
      <c r="E291" s="80"/>
      <c r="F291" s="80"/>
      <c r="G291" s="80"/>
      <c r="H291" s="134">
        <f t="shared" si="34"/>
        <v>0</v>
      </c>
      <c r="I291" s="115"/>
      <c r="J291" s="116"/>
      <c r="K291" s="117"/>
      <c r="L291" s="116"/>
      <c r="M291" s="118"/>
      <c r="N291" s="96"/>
      <c r="O291" s="96"/>
      <c r="P291" s="97"/>
      <c r="Q291" s="97"/>
      <c r="R291" s="12"/>
      <c r="S291" s="12"/>
      <c r="T291" s="13"/>
      <c r="V291" s="26"/>
    </row>
    <row r="292" spans="2:22" s="7" customFormat="1" ht="49.5" customHeight="1">
      <c r="B292" s="139" t="s">
        <v>137</v>
      </c>
      <c r="C292" s="85">
        <f t="shared" si="35"/>
        <v>9</v>
      </c>
      <c r="D292" s="91" t="s">
        <v>76</v>
      </c>
      <c r="E292" s="80"/>
      <c r="F292" s="80"/>
      <c r="G292" s="80"/>
      <c r="H292" s="134">
        <f t="shared" si="34"/>
        <v>0</v>
      </c>
      <c r="I292" s="115"/>
      <c r="J292" s="116"/>
      <c r="K292" s="117"/>
      <c r="L292" s="116"/>
      <c r="M292" s="118"/>
      <c r="N292" s="96"/>
      <c r="O292" s="96"/>
      <c r="P292" s="97"/>
      <c r="Q292" s="97"/>
      <c r="R292" s="12"/>
      <c r="S292" s="12"/>
      <c r="T292" s="13"/>
      <c r="V292" s="26"/>
    </row>
    <row r="293" spans="2:22" s="7" customFormat="1" ht="49.5" customHeight="1">
      <c r="B293" s="139" t="s">
        <v>137</v>
      </c>
      <c r="C293" s="85">
        <f t="shared" si="35"/>
        <v>10</v>
      </c>
      <c r="D293" s="91" t="s">
        <v>76</v>
      </c>
      <c r="E293" s="80"/>
      <c r="F293" s="80"/>
      <c r="G293" s="80"/>
      <c r="H293" s="134">
        <f t="shared" si="34"/>
        <v>0</v>
      </c>
      <c r="I293" s="115"/>
      <c r="J293" s="116"/>
      <c r="K293" s="117"/>
      <c r="L293" s="116"/>
      <c r="M293" s="118"/>
      <c r="N293" s="96"/>
      <c r="O293" s="96"/>
      <c r="P293" s="97"/>
      <c r="Q293" s="97"/>
      <c r="R293" s="12"/>
      <c r="S293" s="12"/>
      <c r="T293" s="13"/>
      <c r="V293" s="26"/>
    </row>
    <row r="294" spans="2:22" s="7" customFormat="1" ht="49.5" customHeight="1">
      <c r="B294" s="139" t="s">
        <v>137</v>
      </c>
      <c r="C294" s="85">
        <f t="shared" si="35"/>
        <v>11</v>
      </c>
      <c r="D294" s="91" t="s">
        <v>76</v>
      </c>
      <c r="E294" s="80"/>
      <c r="F294" s="80"/>
      <c r="G294" s="80"/>
      <c r="H294" s="134">
        <f t="shared" si="34"/>
        <v>0</v>
      </c>
      <c r="I294" s="115"/>
      <c r="J294" s="116"/>
      <c r="K294" s="117"/>
      <c r="L294" s="116"/>
      <c r="M294" s="118"/>
      <c r="N294" s="96"/>
      <c r="O294" s="96"/>
      <c r="P294" s="97"/>
      <c r="Q294" s="97"/>
      <c r="R294" s="12"/>
      <c r="S294" s="12"/>
      <c r="T294" s="13"/>
      <c r="V294" s="26"/>
    </row>
    <row r="295" spans="2:22" s="7" customFormat="1" ht="49.5" customHeight="1">
      <c r="B295" s="139" t="s">
        <v>137</v>
      </c>
      <c r="C295" s="85">
        <f t="shared" si="35"/>
        <v>12</v>
      </c>
      <c r="D295" s="91" t="s">
        <v>76</v>
      </c>
      <c r="E295" s="80"/>
      <c r="F295" s="80"/>
      <c r="G295" s="80"/>
      <c r="H295" s="134">
        <f t="shared" si="33"/>
        <v>0</v>
      </c>
      <c r="I295" s="115"/>
      <c r="J295" s="116"/>
      <c r="K295" s="117"/>
      <c r="L295" s="116"/>
      <c r="M295" s="118"/>
      <c r="N295" s="96"/>
      <c r="O295" s="96"/>
      <c r="P295" s="97"/>
      <c r="Q295" s="97"/>
      <c r="R295" s="10"/>
      <c r="S295" s="10"/>
      <c r="T295" s="11"/>
      <c r="V295" s="26"/>
    </row>
    <row r="296" spans="2:22" s="7" customFormat="1" ht="49.5" customHeight="1">
      <c r="B296" s="139" t="s">
        <v>137</v>
      </c>
      <c r="C296" s="85">
        <f t="shared" si="35"/>
        <v>13</v>
      </c>
      <c r="D296" s="91" t="s">
        <v>76</v>
      </c>
      <c r="E296" s="80"/>
      <c r="F296" s="80"/>
      <c r="G296" s="80"/>
      <c r="H296" s="134">
        <f t="shared" si="33"/>
        <v>0</v>
      </c>
      <c r="I296" s="115"/>
      <c r="J296" s="116"/>
      <c r="K296" s="117"/>
      <c r="L296" s="116"/>
      <c r="M296" s="118"/>
      <c r="N296" s="96"/>
      <c r="O296" s="96"/>
      <c r="P296" s="97"/>
      <c r="Q296" s="97"/>
      <c r="R296" s="12"/>
      <c r="S296" s="12"/>
      <c r="T296" s="13"/>
      <c r="V296" s="26"/>
    </row>
    <row r="297" spans="2:22" s="7" customFormat="1" ht="49.5" customHeight="1">
      <c r="B297" s="139" t="s">
        <v>137</v>
      </c>
      <c r="C297" s="85">
        <f t="shared" si="35"/>
        <v>14</v>
      </c>
      <c r="D297" s="91" t="s">
        <v>76</v>
      </c>
      <c r="E297" s="80"/>
      <c r="F297" s="80"/>
      <c r="G297" s="80"/>
      <c r="H297" s="134">
        <f t="shared" si="33"/>
        <v>0</v>
      </c>
      <c r="I297" s="115"/>
      <c r="J297" s="116"/>
      <c r="K297" s="117"/>
      <c r="L297" s="116"/>
      <c r="M297" s="118"/>
      <c r="N297" s="96"/>
      <c r="O297" s="96"/>
      <c r="P297" s="97"/>
      <c r="Q297" s="97"/>
      <c r="R297" s="12"/>
      <c r="S297" s="12"/>
      <c r="T297" s="13"/>
      <c r="V297" s="26"/>
    </row>
    <row r="298" spans="2:22" s="7" customFormat="1" ht="49.5" customHeight="1">
      <c r="B298" s="139" t="s">
        <v>137</v>
      </c>
      <c r="C298" s="85">
        <f t="shared" si="35"/>
        <v>15</v>
      </c>
      <c r="D298" s="91" t="s">
        <v>76</v>
      </c>
      <c r="E298" s="80"/>
      <c r="F298" s="80"/>
      <c r="G298" s="80"/>
      <c r="H298" s="134">
        <f t="shared" si="33"/>
        <v>0</v>
      </c>
      <c r="I298" s="115"/>
      <c r="J298" s="116"/>
      <c r="K298" s="117"/>
      <c r="L298" s="116"/>
      <c r="M298" s="118"/>
      <c r="N298" s="96"/>
      <c r="O298" s="96"/>
      <c r="P298" s="97"/>
      <c r="Q298" s="97"/>
      <c r="R298" s="12"/>
      <c r="S298" s="12"/>
      <c r="T298" s="13"/>
      <c r="V298" s="26"/>
    </row>
    <row r="299" spans="2:22" s="7" customFormat="1" ht="49.5" customHeight="1">
      <c r="B299" s="139" t="s">
        <v>137</v>
      </c>
      <c r="C299" s="85">
        <f t="shared" si="35"/>
        <v>16</v>
      </c>
      <c r="D299" s="91" t="s">
        <v>76</v>
      </c>
      <c r="E299" s="80"/>
      <c r="F299" s="80"/>
      <c r="G299" s="80"/>
      <c r="H299" s="134">
        <f t="shared" si="33"/>
        <v>0</v>
      </c>
      <c r="I299" s="115"/>
      <c r="J299" s="116"/>
      <c r="K299" s="117"/>
      <c r="L299" s="116"/>
      <c r="M299" s="118"/>
      <c r="N299" s="96"/>
      <c r="O299" s="96"/>
      <c r="P299" s="97"/>
      <c r="Q299" s="97"/>
      <c r="R299" s="12"/>
      <c r="S299" s="12"/>
      <c r="T299" s="13"/>
      <c r="V299" s="26"/>
    </row>
    <row r="300" spans="2:22" s="7" customFormat="1" ht="49.5" customHeight="1">
      <c r="B300" s="139" t="s">
        <v>137</v>
      </c>
      <c r="C300" s="85">
        <f t="shared" si="35"/>
        <v>17</v>
      </c>
      <c r="D300" s="91" t="s">
        <v>76</v>
      </c>
      <c r="E300" s="80"/>
      <c r="F300" s="80"/>
      <c r="G300" s="80"/>
      <c r="H300" s="134">
        <f t="shared" ref="H300:H304" si="36">IF(L300&lt;=0,I300*J300,I300*J300*L300)</f>
        <v>0</v>
      </c>
      <c r="I300" s="115"/>
      <c r="J300" s="116"/>
      <c r="K300" s="117"/>
      <c r="L300" s="116"/>
      <c r="M300" s="118"/>
      <c r="N300" s="96"/>
      <c r="O300" s="96"/>
      <c r="P300" s="97"/>
      <c r="Q300" s="97"/>
      <c r="R300" s="10"/>
      <c r="S300" s="10"/>
      <c r="T300" s="11"/>
      <c r="V300" s="26"/>
    </row>
    <row r="301" spans="2:22" s="7" customFormat="1" ht="49.5" customHeight="1">
      <c r="B301" s="139" t="s">
        <v>137</v>
      </c>
      <c r="C301" s="85">
        <f t="shared" si="35"/>
        <v>18</v>
      </c>
      <c r="D301" s="91" t="s">
        <v>76</v>
      </c>
      <c r="E301" s="80"/>
      <c r="F301" s="80"/>
      <c r="G301" s="80"/>
      <c r="H301" s="134">
        <f t="shared" si="36"/>
        <v>0</v>
      </c>
      <c r="I301" s="115"/>
      <c r="J301" s="116"/>
      <c r="K301" s="117"/>
      <c r="L301" s="116"/>
      <c r="M301" s="118"/>
      <c r="N301" s="96"/>
      <c r="O301" s="96"/>
      <c r="P301" s="97"/>
      <c r="Q301" s="97"/>
      <c r="R301" s="12"/>
      <c r="S301" s="12"/>
      <c r="T301" s="13"/>
      <c r="V301" s="26"/>
    </row>
    <row r="302" spans="2:22" s="7" customFormat="1" ht="49.5" customHeight="1">
      <c r="B302" s="139" t="s">
        <v>137</v>
      </c>
      <c r="C302" s="85">
        <f t="shared" si="35"/>
        <v>19</v>
      </c>
      <c r="D302" s="91" t="s">
        <v>76</v>
      </c>
      <c r="E302" s="80"/>
      <c r="F302" s="80"/>
      <c r="G302" s="80"/>
      <c r="H302" s="134">
        <f t="shared" si="36"/>
        <v>0</v>
      </c>
      <c r="I302" s="115"/>
      <c r="J302" s="116"/>
      <c r="K302" s="117"/>
      <c r="L302" s="116"/>
      <c r="M302" s="118"/>
      <c r="N302" s="96"/>
      <c r="O302" s="96"/>
      <c r="P302" s="97"/>
      <c r="Q302" s="97"/>
      <c r="R302" s="12"/>
      <c r="S302" s="12"/>
      <c r="T302" s="13"/>
      <c r="V302" s="26"/>
    </row>
    <row r="303" spans="2:22" s="7" customFormat="1" ht="49.5" customHeight="1">
      <c r="B303" s="139" t="s">
        <v>137</v>
      </c>
      <c r="C303" s="85">
        <f t="shared" si="35"/>
        <v>20</v>
      </c>
      <c r="D303" s="91" t="s">
        <v>76</v>
      </c>
      <c r="E303" s="80"/>
      <c r="F303" s="80"/>
      <c r="G303" s="80"/>
      <c r="H303" s="134">
        <f t="shared" si="36"/>
        <v>0</v>
      </c>
      <c r="I303" s="115"/>
      <c r="J303" s="116"/>
      <c r="K303" s="117"/>
      <c r="L303" s="116"/>
      <c r="M303" s="118"/>
      <c r="N303" s="96"/>
      <c r="O303" s="96"/>
      <c r="P303" s="97"/>
      <c r="Q303" s="97"/>
      <c r="R303" s="12"/>
      <c r="S303" s="12"/>
      <c r="T303" s="13"/>
      <c r="V303" s="26"/>
    </row>
    <row r="304" spans="2:22" s="7" customFormat="1" ht="49.5" customHeight="1">
      <c r="B304" s="139" t="s">
        <v>137</v>
      </c>
      <c r="C304" s="85">
        <f t="shared" si="35"/>
        <v>21</v>
      </c>
      <c r="D304" s="91" t="s">
        <v>76</v>
      </c>
      <c r="E304" s="80"/>
      <c r="F304" s="80"/>
      <c r="G304" s="80"/>
      <c r="H304" s="134">
        <f t="shared" si="36"/>
        <v>0</v>
      </c>
      <c r="I304" s="115"/>
      <c r="J304" s="116"/>
      <c r="K304" s="117"/>
      <c r="L304" s="116"/>
      <c r="M304" s="118"/>
      <c r="N304" s="96"/>
      <c r="O304" s="96"/>
      <c r="P304" s="97"/>
      <c r="Q304" s="97"/>
      <c r="R304" s="12"/>
      <c r="S304" s="12"/>
      <c r="T304" s="13"/>
      <c r="V304" s="26"/>
    </row>
    <row r="305" spans="2:22" s="7" customFormat="1" ht="49.5" customHeight="1">
      <c r="B305" s="139" t="s">
        <v>137</v>
      </c>
      <c r="C305" s="85">
        <f t="shared" si="35"/>
        <v>22</v>
      </c>
      <c r="D305" s="91" t="s">
        <v>76</v>
      </c>
      <c r="E305" s="80"/>
      <c r="F305" s="80"/>
      <c r="G305" s="80"/>
      <c r="H305" s="134">
        <f t="shared" si="33"/>
        <v>0</v>
      </c>
      <c r="I305" s="115"/>
      <c r="J305" s="116"/>
      <c r="K305" s="117"/>
      <c r="L305" s="116"/>
      <c r="M305" s="118"/>
      <c r="N305" s="96"/>
      <c r="O305" s="96"/>
      <c r="P305" s="97"/>
      <c r="Q305" s="97"/>
      <c r="R305" s="10"/>
      <c r="S305" s="10"/>
      <c r="T305" s="11"/>
      <c r="V305" s="26"/>
    </row>
    <row r="306" spans="2:22" s="7" customFormat="1" ht="49.5" customHeight="1">
      <c r="B306" s="139" t="s">
        <v>137</v>
      </c>
      <c r="C306" s="85">
        <f t="shared" si="35"/>
        <v>23</v>
      </c>
      <c r="D306" s="91" t="s">
        <v>76</v>
      </c>
      <c r="E306" s="80"/>
      <c r="F306" s="80"/>
      <c r="G306" s="80"/>
      <c r="H306" s="134">
        <f t="shared" si="33"/>
        <v>0</v>
      </c>
      <c r="I306" s="115"/>
      <c r="J306" s="116"/>
      <c r="K306" s="117"/>
      <c r="L306" s="116"/>
      <c r="M306" s="118"/>
      <c r="N306" s="96"/>
      <c r="O306" s="96"/>
      <c r="P306" s="97"/>
      <c r="Q306" s="97"/>
      <c r="R306" s="12"/>
      <c r="S306" s="12"/>
      <c r="T306" s="13"/>
      <c r="V306" s="26"/>
    </row>
    <row r="307" spans="2:22" s="7" customFormat="1" ht="49.5" customHeight="1">
      <c r="B307" s="139" t="s">
        <v>137</v>
      </c>
      <c r="C307" s="85">
        <f t="shared" si="35"/>
        <v>24</v>
      </c>
      <c r="D307" s="91" t="s">
        <v>76</v>
      </c>
      <c r="E307" s="80"/>
      <c r="F307" s="80"/>
      <c r="G307" s="80"/>
      <c r="H307" s="134">
        <f t="shared" si="33"/>
        <v>0</v>
      </c>
      <c r="I307" s="115"/>
      <c r="J307" s="116"/>
      <c r="K307" s="117"/>
      <c r="L307" s="116"/>
      <c r="M307" s="118"/>
      <c r="N307" s="96"/>
      <c r="O307" s="96"/>
      <c r="P307" s="97"/>
      <c r="Q307" s="97"/>
      <c r="R307" s="12"/>
      <c r="S307" s="12"/>
      <c r="T307" s="13"/>
      <c r="V307" s="26"/>
    </row>
    <row r="308" spans="2:22" s="7" customFormat="1" ht="49.5" customHeight="1">
      <c r="B308" s="139" t="s">
        <v>137</v>
      </c>
      <c r="C308" s="85">
        <f t="shared" si="35"/>
        <v>25</v>
      </c>
      <c r="D308" s="91" t="s">
        <v>76</v>
      </c>
      <c r="E308" s="80"/>
      <c r="F308" s="80"/>
      <c r="G308" s="80"/>
      <c r="H308" s="134">
        <f t="shared" si="33"/>
        <v>0</v>
      </c>
      <c r="I308" s="115"/>
      <c r="J308" s="116"/>
      <c r="K308" s="117"/>
      <c r="L308" s="116"/>
      <c r="M308" s="118"/>
      <c r="N308" s="96"/>
      <c r="O308" s="96"/>
      <c r="P308" s="97"/>
      <c r="Q308" s="97"/>
      <c r="R308" s="12"/>
      <c r="S308" s="12"/>
      <c r="T308" s="13"/>
      <c r="V308" s="26"/>
    </row>
    <row r="309" spans="2:22" s="7" customFormat="1" ht="49.5" customHeight="1">
      <c r="B309" s="139" t="s">
        <v>137</v>
      </c>
      <c r="C309" s="85">
        <f t="shared" si="35"/>
        <v>26</v>
      </c>
      <c r="D309" s="91" t="s">
        <v>76</v>
      </c>
      <c r="E309" s="80"/>
      <c r="F309" s="80"/>
      <c r="G309" s="80"/>
      <c r="H309" s="134">
        <f t="shared" si="33"/>
        <v>0</v>
      </c>
      <c r="I309" s="115"/>
      <c r="J309" s="116"/>
      <c r="K309" s="117"/>
      <c r="L309" s="116"/>
      <c r="M309" s="118"/>
      <c r="N309" s="96"/>
      <c r="O309" s="96"/>
      <c r="P309" s="97"/>
      <c r="Q309" s="97"/>
      <c r="R309" s="12"/>
      <c r="S309" s="12"/>
      <c r="T309" s="13"/>
      <c r="V309" s="26"/>
    </row>
    <row r="310" spans="2:22" s="7" customFormat="1" ht="49.5" customHeight="1">
      <c r="B310" s="139" t="s">
        <v>137</v>
      </c>
      <c r="C310" s="85">
        <f t="shared" si="35"/>
        <v>27</v>
      </c>
      <c r="D310" s="91" t="s">
        <v>76</v>
      </c>
      <c r="E310" s="80"/>
      <c r="F310" s="80"/>
      <c r="G310" s="80"/>
      <c r="H310" s="134">
        <f t="shared" si="33"/>
        <v>0</v>
      </c>
      <c r="I310" s="115"/>
      <c r="J310" s="116"/>
      <c r="K310" s="117"/>
      <c r="L310" s="116"/>
      <c r="M310" s="118"/>
      <c r="N310" s="96"/>
      <c r="O310" s="96"/>
      <c r="P310" s="97"/>
      <c r="Q310" s="97"/>
      <c r="R310" s="12"/>
      <c r="S310" s="12"/>
      <c r="T310" s="13"/>
      <c r="V310" s="26"/>
    </row>
    <row r="311" spans="2:22" s="7" customFormat="1" ht="49.5" customHeight="1">
      <c r="B311" s="139" t="s">
        <v>137</v>
      </c>
      <c r="C311" s="85">
        <f t="shared" si="35"/>
        <v>28</v>
      </c>
      <c r="D311" s="91" t="s">
        <v>76</v>
      </c>
      <c r="E311" s="80"/>
      <c r="F311" s="80"/>
      <c r="G311" s="80"/>
      <c r="H311" s="134">
        <f t="shared" si="33"/>
        <v>0</v>
      </c>
      <c r="I311" s="115"/>
      <c r="J311" s="116"/>
      <c r="K311" s="117"/>
      <c r="L311" s="116"/>
      <c r="M311" s="118"/>
      <c r="N311" s="96"/>
      <c r="O311" s="96"/>
      <c r="P311" s="97"/>
      <c r="Q311" s="97"/>
      <c r="R311" s="12"/>
      <c r="S311" s="12"/>
      <c r="T311" s="13"/>
      <c r="V311" s="26"/>
    </row>
    <row r="312" spans="2:22" s="7" customFormat="1" ht="49.5" customHeight="1">
      <c r="B312" s="139" t="s">
        <v>137</v>
      </c>
      <c r="C312" s="85">
        <f t="shared" si="35"/>
        <v>29</v>
      </c>
      <c r="D312" s="91" t="s">
        <v>76</v>
      </c>
      <c r="E312" s="80"/>
      <c r="F312" s="80"/>
      <c r="G312" s="80"/>
      <c r="H312" s="134">
        <f t="shared" si="33"/>
        <v>0</v>
      </c>
      <c r="I312" s="115"/>
      <c r="J312" s="116"/>
      <c r="K312" s="117"/>
      <c r="L312" s="116"/>
      <c r="M312" s="118"/>
      <c r="N312" s="96"/>
      <c r="O312" s="96"/>
      <c r="P312" s="97"/>
      <c r="Q312" s="97"/>
      <c r="R312" s="10"/>
      <c r="S312" s="10"/>
      <c r="T312" s="11"/>
      <c r="V312" s="26"/>
    </row>
    <row r="313" spans="2:22" s="7" customFormat="1" ht="49.5" customHeight="1" thickBot="1">
      <c r="B313" s="140" t="s">
        <v>137</v>
      </c>
      <c r="C313" s="83">
        <f t="shared" si="35"/>
        <v>30</v>
      </c>
      <c r="D313" s="29" t="s">
        <v>76</v>
      </c>
      <c r="E313" s="82"/>
      <c r="F313" s="82"/>
      <c r="G313" s="82"/>
      <c r="H313" s="25">
        <f t="shared" si="33"/>
        <v>0</v>
      </c>
      <c r="I313" s="119"/>
      <c r="J313" s="120"/>
      <c r="K313" s="121"/>
      <c r="L313" s="120"/>
      <c r="M313" s="122"/>
      <c r="N313" s="98"/>
      <c r="O313" s="98"/>
      <c r="P313" s="99"/>
      <c r="Q313" s="99"/>
      <c r="R313" s="12"/>
      <c r="S313" s="12"/>
      <c r="T313" s="13"/>
      <c r="V313" s="26"/>
    </row>
    <row r="314" spans="2:22" s="7" customFormat="1" ht="49.5" customHeight="1" thickTop="1" thickBot="1">
      <c r="B314" s="141" t="s">
        <v>68</v>
      </c>
      <c r="C314" s="17"/>
      <c r="D314" s="92"/>
      <c r="E314" s="137"/>
      <c r="F314" s="137"/>
      <c r="G314" s="137"/>
      <c r="H314" s="18">
        <f>SUM(H284:H313)</f>
        <v>0</v>
      </c>
      <c r="I314" s="123"/>
      <c r="J314" s="124"/>
      <c r="K314" s="124"/>
      <c r="L314" s="124"/>
      <c r="M314" s="124"/>
      <c r="N314" s="100"/>
      <c r="O314" s="100"/>
      <c r="P314" s="101"/>
      <c r="Q314" s="101"/>
      <c r="R314" s="8"/>
      <c r="S314" s="8"/>
      <c r="T314" s="9"/>
    </row>
    <row r="315" spans="2:22" s="7" customFormat="1" ht="49.5" customHeight="1" thickTop="1">
      <c r="B315" s="142" t="s">
        <v>139</v>
      </c>
      <c r="C315" s="84">
        <v>1</v>
      </c>
      <c r="D315" s="28" t="s">
        <v>76</v>
      </c>
      <c r="E315" s="79"/>
      <c r="F315" s="79"/>
      <c r="G315" s="79"/>
      <c r="H315" s="136">
        <f t="shared" ref="H315:H344" si="37">IF(L315&lt;=0,I315*J315,I315*J315*L315)</f>
        <v>0</v>
      </c>
      <c r="I315" s="110"/>
      <c r="J315" s="111"/>
      <c r="K315" s="112"/>
      <c r="L315" s="113"/>
      <c r="M315" s="114"/>
      <c r="N315" s="94"/>
      <c r="O315" s="94"/>
      <c r="P315" s="95"/>
      <c r="Q315" s="95"/>
      <c r="R315" s="8"/>
      <c r="S315" s="8"/>
      <c r="T315" s="9"/>
      <c r="V315" s="26"/>
    </row>
    <row r="316" spans="2:22" s="7" customFormat="1" ht="49.5" customHeight="1">
      <c r="B316" s="139" t="s">
        <v>139</v>
      </c>
      <c r="C316" s="85">
        <f>C315+1</f>
        <v>2</v>
      </c>
      <c r="D316" s="91" t="s">
        <v>76</v>
      </c>
      <c r="E316" s="80"/>
      <c r="F316" s="80"/>
      <c r="G316" s="80"/>
      <c r="H316" s="134">
        <f t="shared" ref="H316:H325" si="38">IF(L316&lt;=0,I316*J316,I316*J316*L316)</f>
        <v>0</v>
      </c>
      <c r="I316" s="115"/>
      <c r="J316" s="116"/>
      <c r="K316" s="117"/>
      <c r="L316" s="116"/>
      <c r="M316" s="118"/>
      <c r="N316" s="96"/>
      <c r="O316" s="96"/>
      <c r="P316" s="97"/>
      <c r="Q316" s="97"/>
      <c r="R316" s="10"/>
      <c r="S316" s="10"/>
      <c r="T316" s="11"/>
      <c r="V316" s="26"/>
    </row>
    <row r="317" spans="2:22" s="7" customFormat="1" ht="49.5" customHeight="1">
      <c r="B317" s="139" t="s">
        <v>139</v>
      </c>
      <c r="C317" s="85">
        <f t="shared" ref="C317:C344" si="39">C316+1</f>
        <v>3</v>
      </c>
      <c r="D317" s="91" t="s">
        <v>76</v>
      </c>
      <c r="E317" s="80"/>
      <c r="F317" s="80"/>
      <c r="G317" s="80"/>
      <c r="H317" s="134">
        <f t="shared" si="38"/>
        <v>0</v>
      </c>
      <c r="I317" s="115"/>
      <c r="J317" s="116"/>
      <c r="K317" s="117"/>
      <c r="L317" s="116"/>
      <c r="M317" s="118"/>
      <c r="N317" s="96"/>
      <c r="O317" s="96"/>
      <c r="P317" s="97"/>
      <c r="Q317" s="97"/>
      <c r="R317" s="12"/>
      <c r="S317" s="12"/>
      <c r="T317" s="13"/>
      <c r="V317" s="26"/>
    </row>
    <row r="318" spans="2:22" s="7" customFormat="1" ht="49.5" customHeight="1">
      <c r="B318" s="139" t="s">
        <v>139</v>
      </c>
      <c r="C318" s="85">
        <f t="shared" si="39"/>
        <v>4</v>
      </c>
      <c r="D318" s="91" t="s">
        <v>76</v>
      </c>
      <c r="E318" s="80"/>
      <c r="F318" s="80"/>
      <c r="G318" s="80"/>
      <c r="H318" s="134">
        <f t="shared" si="38"/>
        <v>0</v>
      </c>
      <c r="I318" s="115"/>
      <c r="J318" s="116"/>
      <c r="K318" s="117"/>
      <c r="L318" s="116"/>
      <c r="M318" s="118"/>
      <c r="N318" s="96"/>
      <c r="O318" s="96"/>
      <c r="P318" s="97"/>
      <c r="Q318" s="97"/>
      <c r="R318" s="12"/>
      <c r="S318" s="12"/>
      <c r="T318" s="13"/>
      <c r="V318" s="26"/>
    </row>
    <row r="319" spans="2:22" s="7" customFormat="1" ht="49.5" customHeight="1">
      <c r="B319" s="139" t="s">
        <v>139</v>
      </c>
      <c r="C319" s="85">
        <f t="shared" si="39"/>
        <v>5</v>
      </c>
      <c r="D319" s="91" t="s">
        <v>76</v>
      </c>
      <c r="E319" s="80"/>
      <c r="F319" s="80"/>
      <c r="G319" s="80"/>
      <c r="H319" s="134">
        <f t="shared" si="38"/>
        <v>0</v>
      </c>
      <c r="I319" s="115"/>
      <c r="J319" s="116"/>
      <c r="K319" s="117"/>
      <c r="L319" s="116"/>
      <c r="M319" s="118"/>
      <c r="N319" s="96"/>
      <c r="O319" s="96"/>
      <c r="P319" s="97"/>
      <c r="Q319" s="97"/>
      <c r="R319" s="12"/>
      <c r="S319" s="12"/>
      <c r="T319" s="13"/>
      <c r="V319" s="26"/>
    </row>
    <row r="320" spans="2:22" s="7" customFormat="1" ht="49.5" customHeight="1">
      <c r="B320" s="139" t="s">
        <v>139</v>
      </c>
      <c r="C320" s="85">
        <f t="shared" si="39"/>
        <v>6</v>
      </c>
      <c r="D320" s="91" t="s">
        <v>76</v>
      </c>
      <c r="E320" s="80"/>
      <c r="F320" s="80"/>
      <c r="G320" s="80"/>
      <c r="H320" s="134">
        <f t="shared" si="38"/>
        <v>0</v>
      </c>
      <c r="I320" s="115"/>
      <c r="J320" s="116"/>
      <c r="K320" s="117"/>
      <c r="L320" s="116"/>
      <c r="M320" s="118"/>
      <c r="N320" s="96"/>
      <c r="O320" s="96"/>
      <c r="P320" s="97"/>
      <c r="Q320" s="97"/>
      <c r="R320" s="12"/>
      <c r="S320" s="12"/>
      <c r="T320" s="13"/>
      <c r="V320" s="26"/>
    </row>
    <row r="321" spans="2:22" s="7" customFormat="1" ht="49.5" customHeight="1">
      <c r="B321" s="139" t="s">
        <v>139</v>
      </c>
      <c r="C321" s="85">
        <f t="shared" si="39"/>
        <v>7</v>
      </c>
      <c r="D321" s="91" t="s">
        <v>76</v>
      </c>
      <c r="E321" s="80"/>
      <c r="F321" s="80"/>
      <c r="G321" s="80"/>
      <c r="H321" s="134">
        <f t="shared" si="38"/>
        <v>0</v>
      </c>
      <c r="I321" s="115"/>
      <c r="J321" s="116"/>
      <c r="K321" s="117"/>
      <c r="L321" s="116"/>
      <c r="M321" s="118"/>
      <c r="N321" s="96"/>
      <c r="O321" s="96"/>
      <c r="P321" s="97"/>
      <c r="Q321" s="97"/>
      <c r="R321" s="10"/>
      <c r="S321" s="10"/>
      <c r="T321" s="11"/>
      <c r="V321" s="26"/>
    </row>
    <row r="322" spans="2:22" s="7" customFormat="1" ht="49.5" customHeight="1">
      <c r="B322" s="139" t="s">
        <v>139</v>
      </c>
      <c r="C322" s="85">
        <f t="shared" si="39"/>
        <v>8</v>
      </c>
      <c r="D322" s="91" t="s">
        <v>76</v>
      </c>
      <c r="E322" s="80"/>
      <c r="F322" s="80"/>
      <c r="G322" s="80"/>
      <c r="H322" s="134">
        <f t="shared" si="38"/>
        <v>0</v>
      </c>
      <c r="I322" s="115"/>
      <c r="J322" s="116"/>
      <c r="K322" s="117"/>
      <c r="L322" s="116"/>
      <c r="M322" s="118"/>
      <c r="N322" s="96"/>
      <c r="O322" s="96"/>
      <c r="P322" s="97"/>
      <c r="Q322" s="97"/>
      <c r="R322" s="12"/>
      <c r="S322" s="12"/>
      <c r="T322" s="13"/>
      <c r="V322" s="26"/>
    </row>
    <row r="323" spans="2:22" s="7" customFormat="1" ht="49.5" customHeight="1">
      <c r="B323" s="139" t="s">
        <v>139</v>
      </c>
      <c r="C323" s="85">
        <f t="shared" si="39"/>
        <v>9</v>
      </c>
      <c r="D323" s="91" t="s">
        <v>76</v>
      </c>
      <c r="E323" s="80"/>
      <c r="F323" s="80"/>
      <c r="G323" s="80"/>
      <c r="H323" s="134">
        <f t="shared" si="38"/>
        <v>0</v>
      </c>
      <c r="I323" s="115"/>
      <c r="J323" s="116"/>
      <c r="K323" s="117"/>
      <c r="L323" s="116"/>
      <c r="M323" s="118"/>
      <c r="N323" s="96"/>
      <c r="O323" s="96"/>
      <c r="P323" s="97"/>
      <c r="Q323" s="97"/>
      <c r="R323" s="12"/>
      <c r="S323" s="12"/>
      <c r="T323" s="13"/>
      <c r="V323" s="26"/>
    </row>
    <row r="324" spans="2:22" s="7" customFormat="1" ht="49.5" customHeight="1">
      <c r="B324" s="139" t="s">
        <v>139</v>
      </c>
      <c r="C324" s="85">
        <f t="shared" si="39"/>
        <v>10</v>
      </c>
      <c r="D324" s="91" t="s">
        <v>76</v>
      </c>
      <c r="E324" s="80"/>
      <c r="F324" s="80"/>
      <c r="G324" s="80"/>
      <c r="H324" s="134">
        <f t="shared" si="38"/>
        <v>0</v>
      </c>
      <c r="I324" s="115"/>
      <c r="J324" s="116"/>
      <c r="K324" s="117"/>
      <c r="L324" s="116"/>
      <c r="M324" s="118"/>
      <c r="N324" s="96"/>
      <c r="O324" s="96"/>
      <c r="P324" s="97"/>
      <c r="Q324" s="97"/>
      <c r="R324" s="12"/>
      <c r="S324" s="12"/>
      <c r="T324" s="13"/>
      <c r="V324" s="26"/>
    </row>
    <row r="325" spans="2:22" s="7" customFormat="1" ht="49.5" customHeight="1">
      <c r="B325" s="139" t="s">
        <v>139</v>
      </c>
      <c r="C325" s="85">
        <f t="shared" si="39"/>
        <v>11</v>
      </c>
      <c r="D325" s="91" t="s">
        <v>76</v>
      </c>
      <c r="E325" s="80"/>
      <c r="F325" s="80"/>
      <c r="G325" s="80"/>
      <c r="H325" s="134">
        <f t="shared" si="38"/>
        <v>0</v>
      </c>
      <c r="I325" s="115"/>
      <c r="J325" s="116"/>
      <c r="K325" s="117"/>
      <c r="L325" s="116"/>
      <c r="M325" s="118"/>
      <c r="N325" s="96"/>
      <c r="O325" s="96"/>
      <c r="P325" s="97"/>
      <c r="Q325" s="97"/>
      <c r="R325" s="12"/>
      <c r="S325" s="12"/>
      <c r="T325" s="13"/>
      <c r="V325" s="26"/>
    </row>
    <row r="326" spans="2:22" s="7" customFormat="1" ht="49.5" customHeight="1">
      <c r="B326" s="139" t="s">
        <v>139</v>
      </c>
      <c r="C326" s="85">
        <f t="shared" si="39"/>
        <v>12</v>
      </c>
      <c r="D326" s="91" t="s">
        <v>76</v>
      </c>
      <c r="E326" s="80"/>
      <c r="F326" s="80"/>
      <c r="G326" s="80"/>
      <c r="H326" s="134">
        <f t="shared" si="37"/>
        <v>0</v>
      </c>
      <c r="I326" s="115"/>
      <c r="J326" s="116"/>
      <c r="K326" s="117"/>
      <c r="L326" s="116"/>
      <c r="M326" s="118"/>
      <c r="N326" s="96"/>
      <c r="O326" s="96"/>
      <c r="P326" s="97"/>
      <c r="Q326" s="97"/>
      <c r="R326" s="10"/>
      <c r="S326" s="10"/>
      <c r="T326" s="11"/>
      <c r="V326" s="26"/>
    </row>
    <row r="327" spans="2:22" s="7" customFormat="1" ht="49.5" customHeight="1">
      <c r="B327" s="139" t="s">
        <v>139</v>
      </c>
      <c r="C327" s="85">
        <f t="shared" si="39"/>
        <v>13</v>
      </c>
      <c r="D327" s="91" t="s">
        <v>76</v>
      </c>
      <c r="E327" s="80"/>
      <c r="F327" s="80"/>
      <c r="G327" s="80"/>
      <c r="H327" s="134">
        <f t="shared" si="37"/>
        <v>0</v>
      </c>
      <c r="I327" s="115"/>
      <c r="J327" s="116"/>
      <c r="K327" s="117"/>
      <c r="L327" s="116"/>
      <c r="M327" s="118"/>
      <c r="N327" s="96"/>
      <c r="O327" s="96"/>
      <c r="P327" s="97"/>
      <c r="Q327" s="97"/>
      <c r="R327" s="12"/>
      <c r="S327" s="12"/>
      <c r="T327" s="13"/>
      <c r="V327" s="26"/>
    </row>
    <row r="328" spans="2:22" s="7" customFormat="1" ht="49.5" customHeight="1">
      <c r="B328" s="139" t="s">
        <v>139</v>
      </c>
      <c r="C328" s="85">
        <f t="shared" si="39"/>
        <v>14</v>
      </c>
      <c r="D328" s="91" t="s">
        <v>76</v>
      </c>
      <c r="E328" s="80"/>
      <c r="F328" s="80"/>
      <c r="G328" s="80"/>
      <c r="H328" s="134">
        <f t="shared" si="37"/>
        <v>0</v>
      </c>
      <c r="I328" s="115"/>
      <c r="J328" s="116"/>
      <c r="K328" s="117"/>
      <c r="L328" s="116"/>
      <c r="M328" s="118"/>
      <c r="N328" s="96"/>
      <c r="O328" s="96"/>
      <c r="P328" s="97"/>
      <c r="Q328" s="97"/>
      <c r="R328" s="12"/>
      <c r="S328" s="12"/>
      <c r="T328" s="13"/>
      <c r="V328" s="26"/>
    </row>
    <row r="329" spans="2:22" s="7" customFormat="1" ht="49.5" customHeight="1">
      <c r="B329" s="139" t="s">
        <v>139</v>
      </c>
      <c r="C329" s="85">
        <f t="shared" si="39"/>
        <v>15</v>
      </c>
      <c r="D329" s="91" t="s">
        <v>76</v>
      </c>
      <c r="E329" s="80"/>
      <c r="F329" s="80"/>
      <c r="G329" s="80"/>
      <c r="H329" s="134">
        <f t="shared" si="37"/>
        <v>0</v>
      </c>
      <c r="I329" s="115"/>
      <c r="J329" s="116"/>
      <c r="K329" s="117"/>
      <c r="L329" s="116"/>
      <c r="M329" s="118"/>
      <c r="N329" s="96"/>
      <c r="O329" s="96"/>
      <c r="P329" s="97"/>
      <c r="Q329" s="97"/>
      <c r="R329" s="12"/>
      <c r="S329" s="12"/>
      <c r="T329" s="13"/>
      <c r="V329" s="26"/>
    </row>
    <row r="330" spans="2:22" s="7" customFormat="1" ht="49.5" customHeight="1">
      <c r="B330" s="139" t="s">
        <v>139</v>
      </c>
      <c r="C330" s="85">
        <f t="shared" si="39"/>
        <v>16</v>
      </c>
      <c r="D330" s="91" t="s">
        <v>76</v>
      </c>
      <c r="E330" s="80"/>
      <c r="F330" s="80"/>
      <c r="G330" s="80"/>
      <c r="H330" s="134">
        <f t="shared" si="37"/>
        <v>0</v>
      </c>
      <c r="I330" s="115"/>
      <c r="J330" s="116"/>
      <c r="K330" s="117"/>
      <c r="L330" s="116"/>
      <c r="M330" s="118"/>
      <c r="N330" s="96"/>
      <c r="O330" s="96"/>
      <c r="P330" s="97"/>
      <c r="Q330" s="97"/>
      <c r="R330" s="12"/>
      <c r="S330" s="12"/>
      <c r="T330" s="13"/>
      <c r="V330" s="26"/>
    </row>
    <row r="331" spans="2:22" s="7" customFormat="1" ht="49.5" customHeight="1">
      <c r="B331" s="139" t="s">
        <v>139</v>
      </c>
      <c r="C331" s="85">
        <f t="shared" si="39"/>
        <v>17</v>
      </c>
      <c r="D331" s="91" t="s">
        <v>76</v>
      </c>
      <c r="E331" s="80"/>
      <c r="F331" s="80"/>
      <c r="G331" s="80"/>
      <c r="H331" s="134">
        <f t="shared" ref="H331:H335" si="40">IF(L331&lt;=0,I331*J331,I331*J331*L331)</f>
        <v>0</v>
      </c>
      <c r="I331" s="115"/>
      <c r="J331" s="116"/>
      <c r="K331" s="117"/>
      <c r="L331" s="116"/>
      <c r="M331" s="118"/>
      <c r="N331" s="96"/>
      <c r="O331" s="96"/>
      <c r="P331" s="97"/>
      <c r="Q331" s="97"/>
      <c r="R331" s="10"/>
      <c r="S331" s="10"/>
      <c r="T331" s="11"/>
      <c r="V331" s="26"/>
    </row>
    <row r="332" spans="2:22" s="7" customFormat="1" ht="49.5" customHeight="1">
      <c r="B332" s="139" t="s">
        <v>139</v>
      </c>
      <c r="C332" s="85">
        <f t="shared" si="39"/>
        <v>18</v>
      </c>
      <c r="D332" s="91" t="s">
        <v>76</v>
      </c>
      <c r="E332" s="80"/>
      <c r="F332" s="80"/>
      <c r="G332" s="80"/>
      <c r="H332" s="134">
        <f t="shared" si="40"/>
        <v>0</v>
      </c>
      <c r="I332" s="115"/>
      <c r="J332" s="116"/>
      <c r="K332" s="117"/>
      <c r="L332" s="116"/>
      <c r="M332" s="118"/>
      <c r="N332" s="96"/>
      <c r="O332" s="96"/>
      <c r="P332" s="97"/>
      <c r="Q332" s="97"/>
      <c r="R332" s="12"/>
      <c r="S332" s="12"/>
      <c r="T332" s="13"/>
      <c r="V332" s="26"/>
    </row>
    <row r="333" spans="2:22" s="7" customFormat="1" ht="49.5" customHeight="1">
      <c r="B333" s="139" t="s">
        <v>139</v>
      </c>
      <c r="C333" s="85">
        <f t="shared" si="39"/>
        <v>19</v>
      </c>
      <c r="D333" s="91" t="s">
        <v>76</v>
      </c>
      <c r="E333" s="80"/>
      <c r="F333" s="80"/>
      <c r="G333" s="80"/>
      <c r="H333" s="134">
        <f t="shared" si="40"/>
        <v>0</v>
      </c>
      <c r="I333" s="115"/>
      <c r="J333" s="116"/>
      <c r="K333" s="117"/>
      <c r="L333" s="116"/>
      <c r="M333" s="118"/>
      <c r="N333" s="96"/>
      <c r="O333" s="96"/>
      <c r="P333" s="97"/>
      <c r="Q333" s="97"/>
      <c r="R333" s="12"/>
      <c r="S333" s="12"/>
      <c r="T333" s="13"/>
      <c r="V333" s="26"/>
    </row>
    <row r="334" spans="2:22" s="7" customFormat="1" ht="49.5" customHeight="1">
      <c r="B334" s="139" t="s">
        <v>139</v>
      </c>
      <c r="C334" s="85">
        <f t="shared" si="39"/>
        <v>20</v>
      </c>
      <c r="D334" s="91" t="s">
        <v>76</v>
      </c>
      <c r="E334" s="80"/>
      <c r="F334" s="80"/>
      <c r="G334" s="80"/>
      <c r="H334" s="134">
        <f t="shared" si="40"/>
        <v>0</v>
      </c>
      <c r="I334" s="115"/>
      <c r="J334" s="116"/>
      <c r="K334" s="117"/>
      <c r="L334" s="116"/>
      <c r="M334" s="118"/>
      <c r="N334" s="96"/>
      <c r="O334" s="96"/>
      <c r="P334" s="97"/>
      <c r="Q334" s="97"/>
      <c r="R334" s="12"/>
      <c r="S334" s="12"/>
      <c r="T334" s="13"/>
      <c r="V334" s="26"/>
    </row>
    <row r="335" spans="2:22" s="7" customFormat="1" ht="49.5" customHeight="1">
      <c r="B335" s="139" t="s">
        <v>139</v>
      </c>
      <c r="C335" s="85">
        <f t="shared" si="39"/>
        <v>21</v>
      </c>
      <c r="D335" s="91" t="s">
        <v>76</v>
      </c>
      <c r="E335" s="80"/>
      <c r="F335" s="80"/>
      <c r="G335" s="80"/>
      <c r="H335" s="134">
        <f t="shared" si="40"/>
        <v>0</v>
      </c>
      <c r="I335" s="115"/>
      <c r="J335" s="116"/>
      <c r="K335" s="117"/>
      <c r="L335" s="116"/>
      <c r="M335" s="118"/>
      <c r="N335" s="96"/>
      <c r="O335" s="96"/>
      <c r="P335" s="97"/>
      <c r="Q335" s="97"/>
      <c r="R335" s="12"/>
      <c r="S335" s="12"/>
      <c r="T335" s="13"/>
      <c r="V335" s="26"/>
    </row>
    <row r="336" spans="2:22" s="7" customFormat="1" ht="49.5" customHeight="1">
      <c r="B336" s="139" t="s">
        <v>139</v>
      </c>
      <c r="C336" s="85">
        <f t="shared" si="39"/>
        <v>22</v>
      </c>
      <c r="D336" s="91" t="s">
        <v>76</v>
      </c>
      <c r="E336" s="80"/>
      <c r="F336" s="80"/>
      <c r="G336" s="80"/>
      <c r="H336" s="134">
        <f t="shared" si="37"/>
        <v>0</v>
      </c>
      <c r="I336" s="115"/>
      <c r="J336" s="116"/>
      <c r="K336" s="117"/>
      <c r="L336" s="116"/>
      <c r="M336" s="118"/>
      <c r="N336" s="96"/>
      <c r="O336" s="96"/>
      <c r="P336" s="97"/>
      <c r="Q336" s="97"/>
      <c r="R336" s="10"/>
      <c r="S336" s="10"/>
      <c r="T336" s="11"/>
      <c r="V336" s="26"/>
    </row>
    <row r="337" spans="2:22" s="7" customFormat="1" ht="49.5" customHeight="1">
      <c r="B337" s="139" t="s">
        <v>139</v>
      </c>
      <c r="C337" s="85">
        <f t="shared" si="39"/>
        <v>23</v>
      </c>
      <c r="D337" s="91" t="s">
        <v>76</v>
      </c>
      <c r="E337" s="80"/>
      <c r="F337" s="80"/>
      <c r="G337" s="80"/>
      <c r="H337" s="134">
        <f t="shared" si="37"/>
        <v>0</v>
      </c>
      <c r="I337" s="115"/>
      <c r="J337" s="116"/>
      <c r="K337" s="117"/>
      <c r="L337" s="116"/>
      <c r="M337" s="118"/>
      <c r="N337" s="96"/>
      <c r="O337" s="96"/>
      <c r="P337" s="97"/>
      <c r="Q337" s="97"/>
      <c r="R337" s="12"/>
      <c r="S337" s="12"/>
      <c r="T337" s="13"/>
      <c r="V337" s="26"/>
    </row>
    <row r="338" spans="2:22" s="7" customFormat="1" ht="49.5" customHeight="1">
      <c r="B338" s="139" t="s">
        <v>139</v>
      </c>
      <c r="C338" s="85">
        <f t="shared" si="39"/>
        <v>24</v>
      </c>
      <c r="D338" s="91" t="s">
        <v>76</v>
      </c>
      <c r="E338" s="80"/>
      <c r="F338" s="80"/>
      <c r="G338" s="80"/>
      <c r="H338" s="134">
        <f t="shared" si="37"/>
        <v>0</v>
      </c>
      <c r="I338" s="115"/>
      <c r="J338" s="116"/>
      <c r="K338" s="117"/>
      <c r="L338" s="116"/>
      <c r="M338" s="118"/>
      <c r="N338" s="96"/>
      <c r="O338" s="96"/>
      <c r="P338" s="97"/>
      <c r="Q338" s="97"/>
      <c r="R338" s="12"/>
      <c r="S338" s="12"/>
      <c r="T338" s="13"/>
      <c r="V338" s="26"/>
    </row>
    <row r="339" spans="2:22" s="7" customFormat="1" ht="49.5" customHeight="1">
      <c r="B339" s="139" t="s">
        <v>139</v>
      </c>
      <c r="C339" s="85">
        <f t="shared" si="39"/>
        <v>25</v>
      </c>
      <c r="D339" s="91" t="s">
        <v>76</v>
      </c>
      <c r="E339" s="80"/>
      <c r="F339" s="80"/>
      <c r="G339" s="80"/>
      <c r="H339" s="134">
        <f t="shared" si="37"/>
        <v>0</v>
      </c>
      <c r="I339" s="115"/>
      <c r="J339" s="116"/>
      <c r="K339" s="117"/>
      <c r="L339" s="116"/>
      <c r="M339" s="118"/>
      <c r="N339" s="96"/>
      <c r="O339" s="96"/>
      <c r="P339" s="97"/>
      <c r="Q339" s="97"/>
      <c r="R339" s="12"/>
      <c r="S339" s="12"/>
      <c r="T339" s="13"/>
      <c r="V339" s="26"/>
    </row>
    <row r="340" spans="2:22" s="7" customFormat="1" ht="49.5" customHeight="1">
      <c r="B340" s="139" t="s">
        <v>139</v>
      </c>
      <c r="C340" s="85">
        <f t="shared" si="39"/>
        <v>26</v>
      </c>
      <c r="D340" s="91" t="s">
        <v>76</v>
      </c>
      <c r="E340" s="80"/>
      <c r="F340" s="80"/>
      <c r="G340" s="80"/>
      <c r="H340" s="134">
        <f t="shared" si="37"/>
        <v>0</v>
      </c>
      <c r="I340" s="115"/>
      <c r="J340" s="116"/>
      <c r="K340" s="117"/>
      <c r="L340" s="116"/>
      <c r="M340" s="118"/>
      <c r="N340" s="96"/>
      <c r="O340" s="96"/>
      <c r="P340" s="97"/>
      <c r="Q340" s="97"/>
      <c r="R340" s="12"/>
      <c r="S340" s="12"/>
      <c r="T340" s="13"/>
      <c r="V340" s="26"/>
    </row>
    <row r="341" spans="2:22" s="7" customFormat="1" ht="49.5" customHeight="1">
      <c r="B341" s="139" t="s">
        <v>139</v>
      </c>
      <c r="C341" s="85">
        <f t="shared" si="39"/>
        <v>27</v>
      </c>
      <c r="D341" s="91" t="s">
        <v>76</v>
      </c>
      <c r="E341" s="80"/>
      <c r="F341" s="80"/>
      <c r="G341" s="80"/>
      <c r="H341" s="134">
        <f t="shared" si="37"/>
        <v>0</v>
      </c>
      <c r="I341" s="115"/>
      <c r="J341" s="116"/>
      <c r="K341" s="117"/>
      <c r="L341" s="116"/>
      <c r="M341" s="118"/>
      <c r="N341" s="96"/>
      <c r="O341" s="96"/>
      <c r="P341" s="97"/>
      <c r="Q341" s="97"/>
      <c r="R341" s="12"/>
      <c r="S341" s="12"/>
      <c r="T341" s="13"/>
      <c r="V341" s="26"/>
    </row>
    <row r="342" spans="2:22" s="7" customFormat="1" ht="49.5" customHeight="1">
      <c r="B342" s="139" t="s">
        <v>139</v>
      </c>
      <c r="C342" s="85">
        <f t="shared" si="39"/>
        <v>28</v>
      </c>
      <c r="D342" s="91" t="s">
        <v>76</v>
      </c>
      <c r="E342" s="80"/>
      <c r="F342" s="80"/>
      <c r="G342" s="80"/>
      <c r="H342" s="134">
        <f t="shared" si="37"/>
        <v>0</v>
      </c>
      <c r="I342" s="115"/>
      <c r="J342" s="116"/>
      <c r="K342" s="117"/>
      <c r="L342" s="116"/>
      <c r="M342" s="118"/>
      <c r="N342" s="96"/>
      <c r="O342" s="96"/>
      <c r="P342" s="97"/>
      <c r="Q342" s="97"/>
      <c r="R342" s="12"/>
      <c r="S342" s="12"/>
      <c r="T342" s="13"/>
      <c r="V342" s="26"/>
    </row>
    <row r="343" spans="2:22" s="7" customFormat="1" ht="49.5" customHeight="1">
      <c r="B343" s="139" t="s">
        <v>139</v>
      </c>
      <c r="C343" s="85">
        <f t="shared" si="39"/>
        <v>29</v>
      </c>
      <c r="D343" s="91" t="s">
        <v>76</v>
      </c>
      <c r="E343" s="80"/>
      <c r="F343" s="80"/>
      <c r="G343" s="80"/>
      <c r="H343" s="134">
        <f t="shared" si="37"/>
        <v>0</v>
      </c>
      <c r="I343" s="115"/>
      <c r="J343" s="116"/>
      <c r="K343" s="117"/>
      <c r="L343" s="116"/>
      <c r="M343" s="118"/>
      <c r="N343" s="96"/>
      <c r="O343" s="96"/>
      <c r="P343" s="97"/>
      <c r="Q343" s="97"/>
      <c r="R343" s="10"/>
      <c r="S343" s="10"/>
      <c r="T343" s="11"/>
      <c r="V343" s="26"/>
    </row>
    <row r="344" spans="2:22" s="7" customFormat="1" ht="49.5" customHeight="1" thickBot="1">
      <c r="B344" s="140" t="s">
        <v>139</v>
      </c>
      <c r="C344" s="83">
        <f t="shared" si="39"/>
        <v>30</v>
      </c>
      <c r="D344" s="29" t="s">
        <v>76</v>
      </c>
      <c r="E344" s="82"/>
      <c r="F344" s="82"/>
      <c r="G344" s="82"/>
      <c r="H344" s="25">
        <f t="shared" si="37"/>
        <v>0</v>
      </c>
      <c r="I344" s="119"/>
      <c r="J344" s="120"/>
      <c r="K344" s="121"/>
      <c r="L344" s="120"/>
      <c r="M344" s="122"/>
      <c r="N344" s="98"/>
      <c r="O344" s="98"/>
      <c r="P344" s="99"/>
      <c r="Q344" s="99"/>
      <c r="R344" s="12"/>
      <c r="S344" s="12"/>
      <c r="T344" s="13"/>
      <c r="V344" s="26"/>
    </row>
    <row r="345" spans="2:22" s="7" customFormat="1" ht="49.5" customHeight="1" thickTop="1" thickBot="1">
      <c r="B345" s="141" t="s">
        <v>68</v>
      </c>
      <c r="C345" s="17"/>
      <c r="D345" s="92"/>
      <c r="E345" s="137"/>
      <c r="F345" s="137"/>
      <c r="G345" s="137"/>
      <c r="H345" s="18">
        <f>SUM(H315:H344)</f>
        <v>0</v>
      </c>
      <c r="I345" s="123"/>
      <c r="J345" s="124"/>
      <c r="K345" s="124"/>
      <c r="L345" s="124"/>
      <c r="M345" s="124"/>
      <c r="N345" s="100"/>
      <c r="O345" s="100"/>
      <c r="P345" s="101"/>
      <c r="Q345" s="101"/>
      <c r="R345" s="8"/>
      <c r="S345" s="8"/>
      <c r="T345" s="9"/>
    </row>
    <row r="346" spans="2:22" s="7" customFormat="1" ht="49.5" customHeight="1" thickTop="1">
      <c r="B346" s="142" t="s">
        <v>140</v>
      </c>
      <c r="C346" s="84">
        <v>1</v>
      </c>
      <c r="D346" s="28" t="s">
        <v>76</v>
      </c>
      <c r="E346" s="79"/>
      <c r="F346" s="79"/>
      <c r="G346" s="79"/>
      <c r="H346" s="136">
        <f>IF(L346&lt;=0,I346*J346,I346*J346*L346)</f>
        <v>0</v>
      </c>
      <c r="I346" s="110"/>
      <c r="J346" s="111"/>
      <c r="K346" s="112"/>
      <c r="L346" s="113"/>
      <c r="M346" s="114"/>
      <c r="N346" s="94"/>
      <c r="O346" s="94"/>
      <c r="P346" s="95"/>
      <c r="Q346" s="95"/>
      <c r="R346" s="8"/>
      <c r="S346" s="8"/>
      <c r="T346" s="9"/>
    </row>
    <row r="347" spans="2:22" s="7" customFormat="1" ht="49.5" customHeight="1">
      <c r="B347" s="139" t="s">
        <v>140</v>
      </c>
      <c r="C347" s="85">
        <f>C346+1</f>
        <v>2</v>
      </c>
      <c r="D347" s="91" t="s">
        <v>76</v>
      </c>
      <c r="E347" s="80"/>
      <c r="F347" s="80"/>
      <c r="G347" s="80"/>
      <c r="H347" s="134">
        <f t="shared" ref="H347:H356" si="41">IF(L347&lt;=0,I347*J347,I347*J347*L347)</f>
        <v>0</v>
      </c>
      <c r="I347" s="115"/>
      <c r="J347" s="116"/>
      <c r="K347" s="117"/>
      <c r="L347" s="116"/>
      <c r="M347" s="118"/>
      <c r="N347" s="132"/>
      <c r="O347" s="96"/>
      <c r="P347" s="97"/>
      <c r="Q347" s="97"/>
      <c r="R347" s="10"/>
      <c r="S347" s="10"/>
      <c r="T347" s="11"/>
    </row>
    <row r="348" spans="2:22" s="7" customFormat="1" ht="49.5" customHeight="1">
      <c r="B348" s="139" t="s">
        <v>140</v>
      </c>
      <c r="C348" s="85">
        <f t="shared" ref="C348:C445" si="42">C347+1</f>
        <v>3</v>
      </c>
      <c r="D348" s="91" t="s">
        <v>76</v>
      </c>
      <c r="E348" s="80"/>
      <c r="F348" s="80"/>
      <c r="G348" s="80"/>
      <c r="H348" s="134">
        <f t="shared" si="41"/>
        <v>0</v>
      </c>
      <c r="I348" s="115"/>
      <c r="J348" s="116"/>
      <c r="K348" s="117"/>
      <c r="L348" s="116"/>
      <c r="M348" s="118"/>
      <c r="N348" s="96"/>
      <c r="O348" s="96"/>
      <c r="P348" s="97"/>
      <c r="Q348" s="97"/>
      <c r="R348" s="12"/>
      <c r="S348" s="12"/>
      <c r="T348" s="13"/>
      <c r="V348" s="26"/>
    </row>
    <row r="349" spans="2:22" s="7" customFormat="1" ht="49.5" customHeight="1">
      <c r="B349" s="139" t="s">
        <v>140</v>
      </c>
      <c r="C349" s="85">
        <f t="shared" si="42"/>
        <v>4</v>
      </c>
      <c r="D349" s="91" t="s">
        <v>76</v>
      </c>
      <c r="E349" s="80"/>
      <c r="F349" s="80"/>
      <c r="G349" s="80"/>
      <c r="H349" s="134">
        <f t="shared" si="41"/>
        <v>0</v>
      </c>
      <c r="I349" s="115"/>
      <c r="J349" s="116"/>
      <c r="K349" s="117"/>
      <c r="L349" s="116"/>
      <c r="M349" s="118"/>
      <c r="N349" s="96"/>
      <c r="O349" s="96"/>
      <c r="P349" s="97"/>
      <c r="Q349" s="97"/>
      <c r="R349" s="12"/>
      <c r="S349" s="12"/>
      <c r="T349" s="13"/>
      <c r="V349" s="26"/>
    </row>
    <row r="350" spans="2:22" s="7" customFormat="1" ht="49.5" customHeight="1">
      <c r="B350" s="139" t="s">
        <v>140</v>
      </c>
      <c r="C350" s="85">
        <f t="shared" si="42"/>
        <v>5</v>
      </c>
      <c r="D350" s="91" t="s">
        <v>76</v>
      </c>
      <c r="E350" s="80"/>
      <c r="F350" s="80"/>
      <c r="G350" s="80"/>
      <c r="H350" s="134">
        <f t="shared" si="41"/>
        <v>0</v>
      </c>
      <c r="I350" s="115"/>
      <c r="J350" s="116"/>
      <c r="K350" s="117"/>
      <c r="L350" s="116"/>
      <c r="M350" s="118"/>
      <c r="N350" s="96"/>
      <c r="O350" s="96"/>
      <c r="P350" s="97"/>
      <c r="Q350" s="97"/>
      <c r="R350" s="12"/>
      <c r="S350" s="12"/>
      <c r="T350" s="13"/>
      <c r="V350" s="26"/>
    </row>
    <row r="351" spans="2:22" s="7" customFormat="1" ht="49.5" customHeight="1">
      <c r="B351" s="139" t="s">
        <v>140</v>
      </c>
      <c r="C351" s="85">
        <f t="shared" si="42"/>
        <v>6</v>
      </c>
      <c r="D351" s="91" t="s">
        <v>76</v>
      </c>
      <c r="E351" s="80"/>
      <c r="F351" s="80"/>
      <c r="G351" s="80"/>
      <c r="H351" s="134">
        <f t="shared" si="41"/>
        <v>0</v>
      </c>
      <c r="I351" s="115"/>
      <c r="J351" s="116"/>
      <c r="K351" s="117"/>
      <c r="L351" s="116"/>
      <c r="M351" s="118"/>
      <c r="N351" s="96"/>
      <c r="O351" s="96"/>
      <c r="P351" s="97"/>
      <c r="Q351" s="97"/>
      <c r="R351" s="12"/>
      <c r="S351" s="12"/>
      <c r="T351" s="13"/>
      <c r="V351" s="26"/>
    </row>
    <row r="352" spans="2:22" s="7" customFormat="1" ht="49.5" customHeight="1">
      <c r="B352" s="139" t="s">
        <v>140</v>
      </c>
      <c r="C352" s="85">
        <f t="shared" si="42"/>
        <v>7</v>
      </c>
      <c r="D352" s="91" t="s">
        <v>76</v>
      </c>
      <c r="E352" s="80"/>
      <c r="F352" s="80"/>
      <c r="G352" s="80"/>
      <c r="H352" s="134">
        <f t="shared" si="41"/>
        <v>0</v>
      </c>
      <c r="I352" s="115"/>
      <c r="J352" s="116"/>
      <c r="K352" s="117"/>
      <c r="L352" s="116"/>
      <c r="M352" s="118"/>
      <c r="N352" s="96"/>
      <c r="O352" s="96"/>
      <c r="P352" s="97"/>
      <c r="Q352" s="97"/>
      <c r="R352" s="10"/>
      <c r="S352" s="10"/>
      <c r="T352" s="11"/>
      <c r="V352" s="26"/>
    </row>
    <row r="353" spans="2:22" s="7" customFormat="1" ht="49.5" customHeight="1">
      <c r="B353" s="139" t="s">
        <v>140</v>
      </c>
      <c r="C353" s="85">
        <f t="shared" si="42"/>
        <v>8</v>
      </c>
      <c r="D353" s="91" t="s">
        <v>76</v>
      </c>
      <c r="E353" s="80"/>
      <c r="F353" s="80"/>
      <c r="G353" s="80"/>
      <c r="H353" s="134">
        <f t="shared" si="41"/>
        <v>0</v>
      </c>
      <c r="I353" s="115"/>
      <c r="J353" s="116"/>
      <c r="K353" s="117"/>
      <c r="L353" s="116"/>
      <c r="M353" s="118"/>
      <c r="N353" s="96"/>
      <c r="O353" s="96"/>
      <c r="P353" s="97"/>
      <c r="Q353" s="97"/>
      <c r="R353" s="12"/>
      <c r="S353" s="12"/>
      <c r="T353" s="13"/>
      <c r="V353" s="26"/>
    </row>
    <row r="354" spans="2:22" s="7" customFormat="1" ht="49.5" customHeight="1">
      <c r="B354" s="139" t="s">
        <v>140</v>
      </c>
      <c r="C354" s="85">
        <f t="shared" si="42"/>
        <v>9</v>
      </c>
      <c r="D354" s="91" t="s">
        <v>76</v>
      </c>
      <c r="E354" s="80"/>
      <c r="F354" s="80"/>
      <c r="G354" s="80"/>
      <c r="H354" s="134">
        <f t="shared" si="41"/>
        <v>0</v>
      </c>
      <c r="I354" s="115"/>
      <c r="J354" s="116"/>
      <c r="K354" s="117"/>
      <c r="L354" s="116"/>
      <c r="M354" s="118"/>
      <c r="N354" s="96"/>
      <c r="O354" s="96"/>
      <c r="P354" s="97"/>
      <c r="Q354" s="97"/>
      <c r="R354" s="12"/>
      <c r="S354" s="12"/>
      <c r="T354" s="13"/>
      <c r="V354" s="26"/>
    </row>
    <row r="355" spans="2:22" s="7" customFormat="1" ht="49.5" customHeight="1">
      <c r="B355" s="139" t="s">
        <v>140</v>
      </c>
      <c r="C355" s="85">
        <f t="shared" si="42"/>
        <v>10</v>
      </c>
      <c r="D355" s="91" t="s">
        <v>76</v>
      </c>
      <c r="E355" s="80"/>
      <c r="F355" s="80"/>
      <c r="G355" s="80"/>
      <c r="H355" s="134">
        <f t="shared" si="41"/>
        <v>0</v>
      </c>
      <c r="I355" s="115"/>
      <c r="J355" s="116"/>
      <c r="K355" s="117"/>
      <c r="L355" s="116"/>
      <c r="M355" s="118"/>
      <c r="N355" s="96"/>
      <c r="O355" s="96"/>
      <c r="P355" s="97"/>
      <c r="Q355" s="97"/>
      <c r="R355" s="12"/>
      <c r="S355" s="12"/>
      <c r="T355" s="13"/>
      <c r="V355" s="26"/>
    </row>
    <row r="356" spans="2:22" s="7" customFormat="1" ht="49.5" customHeight="1">
      <c r="B356" s="139" t="s">
        <v>140</v>
      </c>
      <c r="C356" s="85">
        <f t="shared" si="42"/>
        <v>11</v>
      </c>
      <c r="D356" s="91" t="s">
        <v>76</v>
      </c>
      <c r="E356" s="80"/>
      <c r="F356" s="80"/>
      <c r="G356" s="80"/>
      <c r="H356" s="134">
        <f t="shared" si="41"/>
        <v>0</v>
      </c>
      <c r="I356" s="115"/>
      <c r="J356" s="116"/>
      <c r="K356" s="117"/>
      <c r="L356" s="116"/>
      <c r="M356" s="118"/>
      <c r="N356" s="96"/>
      <c r="O356" s="96"/>
      <c r="P356" s="97"/>
      <c r="Q356" s="97"/>
      <c r="R356" s="12"/>
      <c r="S356" s="12"/>
      <c r="T356" s="13"/>
      <c r="V356" s="26"/>
    </row>
    <row r="357" spans="2:22" s="7" customFormat="1" ht="49.5" customHeight="1">
      <c r="B357" s="139" t="s">
        <v>140</v>
      </c>
      <c r="C357" s="85">
        <f t="shared" si="42"/>
        <v>12</v>
      </c>
      <c r="D357" s="91" t="s">
        <v>76</v>
      </c>
      <c r="E357" s="80"/>
      <c r="F357" s="80"/>
      <c r="G357" s="80"/>
      <c r="H357" s="134">
        <f t="shared" ref="H357:H445" si="43">IF(L357&lt;=0,I357*J357,I357*J357*L357)</f>
        <v>0</v>
      </c>
      <c r="I357" s="115"/>
      <c r="J357" s="116"/>
      <c r="K357" s="117"/>
      <c r="L357" s="116"/>
      <c r="M357" s="118"/>
      <c r="N357" s="96"/>
      <c r="O357" s="96"/>
      <c r="P357" s="97"/>
      <c r="Q357" s="97"/>
      <c r="R357" s="10"/>
      <c r="S357" s="10"/>
      <c r="T357" s="11"/>
      <c r="V357" s="26"/>
    </row>
    <row r="358" spans="2:22" s="7" customFormat="1" ht="49.5" customHeight="1">
      <c r="B358" s="139" t="s">
        <v>140</v>
      </c>
      <c r="C358" s="85">
        <f t="shared" si="42"/>
        <v>13</v>
      </c>
      <c r="D358" s="91" t="s">
        <v>76</v>
      </c>
      <c r="E358" s="80"/>
      <c r="F358" s="80"/>
      <c r="G358" s="80"/>
      <c r="H358" s="134">
        <f t="shared" si="43"/>
        <v>0</v>
      </c>
      <c r="I358" s="115"/>
      <c r="J358" s="116"/>
      <c r="K358" s="117"/>
      <c r="L358" s="116"/>
      <c r="M358" s="118"/>
      <c r="N358" s="96"/>
      <c r="O358" s="96"/>
      <c r="P358" s="97"/>
      <c r="Q358" s="97"/>
      <c r="R358" s="12"/>
      <c r="S358" s="12"/>
      <c r="T358" s="13"/>
      <c r="V358" s="26"/>
    </row>
    <row r="359" spans="2:22" s="7" customFormat="1" ht="49.5" customHeight="1">
      <c r="B359" s="139" t="s">
        <v>140</v>
      </c>
      <c r="C359" s="85">
        <f t="shared" si="42"/>
        <v>14</v>
      </c>
      <c r="D359" s="91" t="s">
        <v>76</v>
      </c>
      <c r="E359" s="80"/>
      <c r="F359" s="80"/>
      <c r="G359" s="80"/>
      <c r="H359" s="134">
        <f t="shared" si="43"/>
        <v>0</v>
      </c>
      <c r="I359" s="115"/>
      <c r="J359" s="116"/>
      <c r="K359" s="117"/>
      <c r="L359" s="116"/>
      <c r="M359" s="118"/>
      <c r="N359" s="96"/>
      <c r="O359" s="96"/>
      <c r="P359" s="97"/>
      <c r="Q359" s="97"/>
      <c r="R359" s="12"/>
      <c r="S359" s="12"/>
      <c r="T359" s="13"/>
      <c r="V359" s="26"/>
    </row>
    <row r="360" spans="2:22" s="7" customFormat="1" ht="49.5" customHeight="1">
      <c r="B360" s="139" t="s">
        <v>140</v>
      </c>
      <c r="C360" s="85">
        <f t="shared" si="42"/>
        <v>15</v>
      </c>
      <c r="D360" s="91" t="s">
        <v>76</v>
      </c>
      <c r="E360" s="80"/>
      <c r="F360" s="80"/>
      <c r="G360" s="80"/>
      <c r="H360" s="134">
        <f t="shared" si="43"/>
        <v>0</v>
      </c>
      <c r="I360" s="115"/>
      <c r="J360" s="116"/>
      <c r="K360" s="117"/>
      <c r="L360" s="116"/>
      <c r="M360" s="118"/>
      <c r="N360" s="96"/>
      <c r="O360" s="96"/>
      <c r="P360" s="97"/>
      <c r="Q360" s="97"/>
      <c r="R360" s="12"/>
      <c r="S360" s="12"/>
      <c r="T360" s="13"/>
      <c r="V360" s="26"/>
    </row>
    <row r="361" spans="2:22" s="7" customFormat="1" ht="49.5" customHeight="1">
      <c r="B361" s="139" t="s">
        <v>140</v>
      </c>
      <c r="C361" s="85">
        <f t="shared" si="42"/>
        <v>16</v>
      </c>
      <c r="D361" s="91" t="s">
        <v>76</v>
      </c>
      <c r="E361" s="80"/>
      <c r="F361" s="80"/>
      <c r="G361" s="80"/>
      <c r="H361" s="134">
        <f t="shared" si="43"/>
        <v>0</v>
      </c>
      <c r="I361" s="115"/>
      <c r="J361" s="116"/>
      <c r="K361" s="117"/>
      <c r="L361" s="116"/>
      <c r="M361" s="118"/>
      <c r="N361" s="96"/>
      <c r="O361" s="96"/>
      <c r="P361" s="97"/>
      <c r="Q361" s="97"/>
      <c r="R361" s="12"/>
      <c r="S361" s="12"/>
      <c r="T361" s="13"/>
      <c r="V361" s="26"/>
    </row>
    <row r="362" spans="2:22" s="7" customFormat="1" ht="49.5" customHeight="1">
      <c r="B362" s="139" t="s">
        <v>140</v>
      </c>
      <c r="C362" s="85">
        <f t="shared" si="42"/>
        <v>17</v>
      </c>
      <c r="D362" s="91" t="s">
        <v>76</v>
      </c>
      <c r="E362" s="80"/>
      <c r="F362" s="80"/>
      <c r="G362" s="80"/>
      <c r="H362" s="134">
        <f t="shared" ref="H362:H393" si="44">IF(L362&lt;=0,I362*J362,I362*J362*L362)</f>
        <v>0</v>
      </c>
      <c r="I362" s="115"/>
      <c r="J362" s="116"/>
      <c r="K362" s="117"/>
      <c r="L362" s="116"/>
      <c r="M362" s="118"/>
      <c r="N362" s="96"/>
      <c r="O362" s="96"/>
      <c r="P362" s="97"/>
      <c r="Q362" s="97"/>
      <c r="R362" s="10"/>
      <c r="S362" s="10"/>
      <c r="T362" s="11"/>
      <c r="V362" s="26"/>
    </row>
    <row r="363" spans="2:22" s="7" customFormat="1" ht="49.5" customHeight="1">
      <c r="B363" s="139" t="s">
        <v>140</v>
      </c>
      <c r="C363" s="85">
        <f t="shared" si="42"/>
        <v>18</v>
      </c>
      <c r="D363" s="91" t="s">
        <v>76</v>
      </c>
      <c r="E363" s="80"/>
      <c r="F363" s="80"/>
      <c r="G363" s="80"/>
      <c r="H363" s="134">
        <f t="shared" si="44"/>
        <v>0</v>
      </c>
      <c r="I363" s="115"/>
      <c r="J363" s="116"/>
      <c r="K363" s="117"/>
      <c r="L363" s="116"/>
      <c r="M363" s="118"/>
      <c r="N363" s="96"/>
      <c r="O363" s="96"/>
      <c r="P363" s="97"/>
      <c r="Q363" s="97"/>
      <c r="R363" s="12"/>
      <c r="S363" s="12"/>
      <c r="T363" s="13"/>
      <c r="V363" s="26"/>
    </row>
    <row r="364" spans="2:22" s="7" customFormat="1" ht="49.5" customHeight="1">
      <c r="B364" s="139" t="s">
        <v>140</v>
      </c>
      <c r="C364" s="85">
        <f t="shared" si="42"/>
        <v>19</v>
      </c>
      <c r="D364" s="91" t="s">
        <v>76</v>
      </c>
      <c r="E364" s="80"/>
      <c r="F364" s="80"/>
      <c r="G364" s="80"/>
      <c r="H364" s="134">
        <f t="shared" si="44"/>
        <v>0</v>
      </c>
      <c r="I364" s="115"/>
      <c r="J364" s="116"/>
      <c r="K364" s="117"/>
      <c r="L364" s="116"/>
      <c r="M364" s="118"/>
      <c r="N364" s="96"/>
      <c r="O364" s="96"/>
      <c r="P364" s="97"/>
      <c r="Q364" s="97"/>
      <c r="R364" s="12"/>
      <c r="S364" s="12"/>
      <c r="T364" s="13"/>
      <c r="V364" s="26"/>
    </row>
    <row r="365" spans="2:22" s="7" customFormat="1" ht="49.5" customHeight="1">
      <c r="B365" s="139" t="s">
        <v>140</v>
      </c>
      <c r="C365" s="85">
        <f t="shared" si="42"/>
        <v>20</v>
      </c>
      <c r="D365" s="91" t="s">
        <v>76</v>
      </c>
      <c r="E365" s="80"/>
      <c r="F365" s="80"/>
      <c r="G365" s="80"/>
      <c r="H365" s="134">
        <f t="shared" si="44"/>
        <v>0</v>
      </c>
      <c r="I365" s="115"/>
      <c r="J365" s="116"/>
      <c r="K365" s="117"/>
      <c r="L365" s="116"/>
      <c r="M365" s="118"/>
      <c r="N365" s="96"/>
      <c r="O365" s="96"/>
      <c r="P365" s="97"/>
      <c r="Q365" s="97"/>
      <c r="R365" s="12"/>
      <c r="S365" s="12"/>
      <c r="T365" s="13"/>
      <c r="V365" s="26"/>
    </row>
    <row r="366" spans="2:22" s="7" customFormat="1" ht="49.5" customHeight="1">
      <c r="B366" s="139" t="s">
        <v>140</v>
      </c>
      <c r="C366" s="85">
        <f t="shared" si="42"/>
        <v>21</v>
      </c>
      <c r="D366" s="91" t="s">
        <v>76</v>
      </c>
      <c r="E366" s="80"/>
      <c r="F366" s="80"/>
      <c r="G366" s="80"/>
      <c r="H366" s="134">
        <f t="shared" si="44"/>
        <v>0</v>
      </c>
      <c r="I366" s="115"/>
      <c r="J366" s="116"/>
      <c r="K366" s="117"/>
      <c r="L366" s="116"/>
      <c r="M366" s="118"/>
      <c r="N366" s="96"/>
      <c r="O366" s="96"/>
      <c r="P366" s="97"/>
      <c r="Q366" s="97"/>
      <c r="R366" s="12"/>
      <c r="S366" s="12"/>
      <c r="T366" s="13"/>
      <c r="U366" s="88"/>
      <c r="V366" s="26"/>
    </row>
    <row r="367" spans="2:22" s="7" customFormat="1" ht="49.5" customHeight="1">
      <c r="B367" s="139" t="s">
        <v>140</v>
      </c>
      <c r="C367" s="85">
        <f t="shared" si="42"/>
        <v>22</v>
      </c>
      <c r="D367" s="91" t="s">
        <v>76</v>
      </c>
      <c r="E367" s="80"/>
      <c r="F367" s="80"/>
      <c r="G367" s="80"/>
      <c r="H367" s="134">
        <f t="shared" si="44"/>
        <v>0</v>
      </c>
      <c r="I367" s="115"/>
      <c r="J367" s="116"/>
      <c r="K367" s="117"/>
      <c r="L367" s="116"/>
      <c r="M367" s="118"/>
      <c r="N367" s="96"/>
      <c r="O367" s="96"/>
      <c r="P367" s="97"/>
      <c r="Q367" s="97"/>
      <c r="R367" s="12"/>
      <c r="S367" s="12"/>
      <c r="T367" s="13"/>
      <c r="U367" s="88"/>
      <c r="V367" s="26"/>
    </row>
    <row r="368" spans="2:22" s="7" customFormat="1" ht="49.5" customHeight="1">
      <c r="B368" s="139" t="s">
        <v>140</v>
      </c>
      <c r="C368" s="85">
        <f t="shared" si="42"/>
        <v>23</v>
      </c>
      <c r="D368" s="91" t="s">
        <v>76</v>
      </c>
      <c r="E368" s="80"/>
      <c r="F368" s="80"/>
      <c r="G368" s="80"/>
      <c r="H368" s="134">
        <f t="shared" si="44"/>
        <v>0</v>
      </c>
      <c r="I368" s="115"/>
      <c r="J368" s="116"/>
      <c r="K368" s="117"/>
      <c r="L368" s="116"/>
      <c r="M368" s="118"/>
      <c r="N368" s="96"/>
      <c r="O368" s="96"/>
      <c r="P368" s="97"/>
      <c r="Q368" s="97"/>
      <c r="R368" s="12"/>
      <c r="S368" s="12"/>
      <c r="T368" s="13"/>
      <c r="U368" s="88"/>
      <c r="V368" s="26"/>
    </row>
    <row r="369" spans="2:22" s="7" customFormat="1" ht="49.5" customHeight="1">
      <c r="B369" s="139" t="s">
        <v>140</v>
      </c>
      <c r="C369" s="85">
        <f t="shared" si="42"/>
        <v>24</v>
      </c>
      <c r="D369" s="91" t="s">
        <v>76</v>
      </c>
      <c r="E369" s="80"/>
      <c r="F369" s="80"/>
      <c r="G369" s="80"/>
      <c r="H369" s="134">
        <f t="shared" si="44"/>
        <v>0</v>
      </c>
      <c r="I369" s="115"/>
      <c r="J369" s="116"/>
      <c r="K369" s="117"/>
      <c r="L369" s="116"/>
      <c r="M369" s="118"/>
      <c r="N369" s="96"/>
      <c r="O369" s="96"/>
      <c r="P369" s="97"/>
      <c r="Q369" s="97"/>
      <c r="R369" s="12"/>
      <c r="S369" s="12"/>
      <c r="T369" s="13"/>
      <c r="U369" s="88"/>
      <c r="V369" s="26"/>
    </row>
    <row r="370" spans="2:22" s="7" customFormat="1" ht="49.5" customHeight="1">
      <c r="B370" s="139" t="s">
        <v>140</v>
      </c>
      <c r="C370" s="85">
        <f t="shared" si="42"/>
        <v>25</v>
      </c>
      <c r="D370" s="91" t="s">
        <v>76</v>
      </c>
      <c r="E370" s="80"/>
      <c r="F370" s="80"/>
      <c r="G370" s="80"/>
      <c r="H370" s="134">
        <f t="shared" si="44"/>
        <v>0</v>
      </c>
      <c r="I370" s="115"/>
      <c r="J370" s="116"/>
      <c r="K370" s="117"/>
      <c r="L370" s="116"/>
      <c r="M370" s="118"/>
      <c r="N370" s="96"/>
      <c r="O370" s="96"/>
      <c r="P370" s="97"/>
      <c r="Q370" s="97"/>
      <c r="R370" s="12"/>
      <c r="S370" s="12"/>
      <c r="T370" s="13"/>
      <c r="U370" s="88"/>
      <c r="V370" s="26"/>
    </row>
    <row r="371" spans="2:22" s="7" customFormat="1" ht="49.5" customHeight="1">
      <c r="B371" s="139" t="s">
        <v>140</v>
      </c>
      <c r="C371" s="85">
        <f t="shared" si="42"/>
        <v>26</v>
      </c>
      <c r="D371" s="91" t="s">
        <v>76</v>
      </c>
      <c r="E371" s="80"/>
      <c r="F371" s="80"/>
      <c r="G371" s="80"/>
      <c r="H371" s="134">
        <f t="shared" si="44"/>
        <v>0</v>
      </c>
      <c r="I371" s="115"/>
      <c r="J371" s="116"/>
      <c r="K371" s="117"/>
      <c r="L371" s="116"/>
      <c r="M371" s="118"/>
      <c r="N371" s="96"/>
      <c r="O371" s="96"/>
      <c r="P371" s="97"/>
      <c r="Q371" s="97"/>
      <c r="R371" s="12"/>
      <c r="S371" s="12"/>
      <c r="T371" s="13"/>
      <c r="U371" s="88"/>
      <c r="V371" s="26"/>
    </row>
    <row r="372" spans="2:22" s="7" customFormat="1" ht="49.5" customHeight="1">
      <c r="B372" s="139" t="s">
        <v>140</v>
      </c>
      <c r="C372" s="85">
        <f t="shared" si="42"/>
        <v>27</v>
      </c>
      <c r="D372" s="91" t="s">
        <v>76</v>
      </c>
      <c r="E372" s="80"/>
      <c r="F372" s="80"/>
      <c r="G372" s="80"/>
      <c r="H372" s="134">
        <f t="shared" si="44"/>
        <v>0</v>
      </c>
      <c r="I372" s="115"/>
      <c r="J372" s="116"/>
      <c r="K372" s="117"/>
      <c r="L372" s="116"/>
      <c r="M372" s="118"/>
      <c r="N372" s="96"/>
      <c r="O372" s="96"/>
      <c r="P372" s="97"/>
      <c r="Q372" s="97"/>
      <c r="R372" s="12"/>
      <c r="S372" s="12"/>
      <c r="T372" s="13"/>
      <c r="U372" s="88"/>
      <c r="V372" s="26"/>
    </row>
    <row r="373" spans="2:22" s="7" customFormat="1" ht="49.5" customHeight="1">
      <c r="B373" s="139" t="s">
        <v>140</v>
      </c>
      <c r="C373" s="85">
        <f t="shared" si="42"/>
        <v>28</v>
      </c>
      <c r="D373" s="91" t="s">
        <v>76</v>
      </c>
      <c r="E373" s="80"/>
      <c r="F373" s="80"/>
      <c r="G373" s="80"/>
      <c r="H373" s="134">
        <f t="shared" si="44"/>
        <v>0</v>
      </c>
      <c r="I373" s="115"/>
      <c r="J373" s="116"/>
      <c r="K373" s="117"/>
      <c r="L373" s="116"/>
      <c r="M373" s="118"/>
      <c r="N373" s="96"/>
      <c r="O373" s="96"/>
      <c r="P373" s="97"/>
      <c r="Q373" s="97"/>
      <c r="R373" s="12"/>
      <c r="S373" s="12"/>
      <c r="T373" s="13"/>
      <c r="U373" s="88"/>
      <c r="V373" s="26"/>
    </row>
    <row r="374" spans="2:22" s="7" customFormat="1" ht="49.5" customHeight="1">
      <c r="B374" s="139" t="s">
        <v>140</v>
      </c>
      <c r="C374" s="85">
        <f t="shared" si="42"/>
        <v>29</v>
      </c>
      <c r="D374" s="91" t="s">
        <v>76</v>
      </c>
      <c r="E374" s="80"/>
      <c r="F374" s="80"/>
      <c r="G374" s="80"/>
      <c r="H374" s="134">
        <f t="shared" si="44"/>
        <v>0</v>
      </c>
      <c r="I374" s="115"/>
      <c r="J374" s="116"/>
      <c r="K374" s="117"/>
      <c r="L374" s="116"/>
      <c r="M374" s="118"/>
      <c r="N374" s="96"/>
      <c r="O374" s="96"/>
      <c r="P374" s="97"/>
      <c r="Q374" s="97"/>
      <c r="R374" s="12"/>
      <c r="S374" s="12"/>
      <c r="T374" s="13"/>
      <c r="U374" s="88"/>
      <c r="V374" s="26"/>
    </row>
    <row r="375" spans="2:22" s="7" customFormat="1" ht="49.5" customHeight="1" thickBot="1">
      <c r="B375" s="139" t="s">
        <v>140</v>
      </c>
      <c r="C375" s="85">
        <f t="shared" si="42"/>
        <v>30</v>
      </c>
      <c r="D375" s="91" t="s">
        <v>76</v>
      </c>
      <c r="E375" s="80"/>
      <c r="F375" s="80"/>
      <c r="G375" s="80"/>
      <c r="H375" s="134">
        <f t="shared" si="44"/>
        <v>0</v>
      </c>
      <c r="I375" s="115"/>
      <c r="J375" s="116"/>
      <c r="K375" s="117"/>
      <c r="L375" s="116"/>
      <c r="M375" s="118"/>
      <c r="N375" s="96"/>
      <c r="O375" s="96"/>
      <c r="P375" s="97"/>
      <c r="Q375" s="97"/>
      <c r="R375" s="12"/>
      <c r="S375" s="12"/>
      <c r="T375" s="13"/>
      <c r="U375" s="88" t="s">
        <v>102</v>
      </c>
      <c r="V375" s="26"/>
    </row>
    <row r="376" spans="2:22" s="7" customFormat="1" ht="49.5" hidden="1" customHeight="1">
      <c r="B376" s="139" t="s">
        <v>140</v>
      </c>
      <c r="C376" s="85">
        <f t="shared" si="42"/>
        <v>31</v>
      </c>
      <c r="D376" s="91" t="s">
        <v>76</v>
      </c>
      <c r="E376" s="80"/>
      <c r="F376" s="80"/>
      <c r="G376" s="80"/>
      <c r="H376" s="134">
        <f t="shared" si="44"/>
        <v>0</v>
      </c>
      <c r="I376" s="115"/>
      <c r="J376" s="116"/>
      <c r="K376" s="117"/>
      <c r="L376" s="116"/>
      <c r="M376" s="118"/>
      <c r="N376" s="96"/>
      <c r="O376" s="96"/>
      <c r="P376" s="97"/>
      <c r="Q376" s="97"/>
      <c r="R376" s="12"/>
      <c r="S376" s="12"/>
      <c r="T376" s="13"/>
      <c r="U376" s="88"/>
      <c r="V376" s="26"/>
    </row>
    <row r="377" spans="2:22" s="7" customFormat="1" ht="49.5" hidden="1" customHeight="1">
      <c r="B377" s="139" t="s">
        <v>140</v>
      </c>
      <c r="C377" s="85">
        <f t="shared" si="42"/>
        <v>32</v>
      </c>
      <c r="D377" s="91" t="s">
        <v>76</v>
      </c>
      <c r="E377" s="80"/>
      <c r="F377" s="80"/>
      <c r="G377" s="80"/>
      <c r="H377" s="134">
        <f t="shared" si="44"/>
        <v>0</v>
      </c>
      <c r="I377" s="115"/>
      <c r="J377" s="116"/>
      <c r="K377" s="117"/>
      <c r="L377" s="116"/>
      <c r="M377" s="118"/>
      <c r="N377" s="96"/>
      <c r="O377" s="96"/>
      <c r="P377" s="97"/>
      <c r="Q377" s="97"/>
      <c r="R377" s="12"/>
      <c r="S377" s="12"/>
      <c r="T377" s="13"/>
      <c r="U377" s="88"/>
      <c r="V377" s="26"/>
    </row>
    <row r="378" spans="2:22" s="7" customFormat="1" ht="49.5" hidden="1" customHeight="1">
      <c r="B378" s="139" t="s">
        <v>140</v>
      </c>
      <c r="C378" s="85">
        <f t="shared" si="42"/>
        <v>33</v>
      </c>
      <c r="D378" s="91" t="s">
        <v>76</v>
      </c>
      <c r="E378" s="80"/>
      <c r="F378" s="80"/>
      <c r="G378" s="80"/>
      <c r="H378" s="134">
        <f t="shared" si="44"/>
        <v>0</v>
      </c>
      <c r="I378" s="115"/>
      <c r="J378" s="116"/>
      <c r="K378" s="117"/>
      <c r="L378" s="116"/>
      <c r="M378" s="118"/>
      <c r="N378" s="96"/>
      <c r="O378" s="96"/>
      <c r="P378" s="97"/>
      <c r="Q378" s="97"/>
      <c r="R378" s="12"/>
      <c r="S378" s="12"/>
      <c r="T378" s="13"/>
      <c r="U378" s="88"/>
      <c r="V378" s="26"/>
    </row>
    <row r="379" spans="2:22" s="7" customFormat="1" ht="49.5" hidden="1" customHeight="1">
      <c r="B379" s="139" t="s">
        <v>140</v>
      </c>
      <c r="C379" s="85">
        <f t="shared" si="42"/>
        <v>34</v>
      </c>
      <c r="D379" s="91" t="s">
        <v>76</v>
      </c>
      <c r="E379" s="80"/>
      <c r="F379" s="80"/>
      <c r="G379" s="80"/>
      <c r="H379" s="134">
        <f t="shared" si="44"/>
        <v>0</v>
      </c>
      <c r="I379" s="115"/>
      <c r="J379" s="116"/>
      <c r="K379" s="117"/>
      <c r="L379" s="116"/>
      <c r="M379" s="118"/>
      <c r="N379" s="96"/>
      <c r="O379" s="96"/>
      <c r="P379" s="97"/>
      <c r="Q379" s="97"/>
      <c r="R379" s="12"/>
      <c r="S379" s="12"/>
      <c r="T379" s="13"/>
      <c r="U379" s="88"/>
      <c r="V379" s="26"/>
    </row>
    <row r="380" spans="2:22" s="7" customFormat="1" ht="49.5" hidden="1" customHeight="1">
      <c r="B380" s="139" t="s">
        <v>140</v>
      </c>
      <c r="C380" s="85">
        <f t="shared" si="42"/>
        <v>35</v>
      </c>
      <c r="D380" s="91" t="s">
        <v>76</v>
      </c>
      <c r="E380" s="80"/>
      <c r="F380" s="80"/>
      <c r="G380" s="80"/>
      <c r="H380" s="134">
        <f t="shared" si="44"/>
        <v>0</v>
      </c>
      <c r="I380" s="115"/>
      <c r="J380" s="116"/>
      <c r="K380" s="117"/>
      <c r="L380" s="116"/>
      <c r="M380" s="118"/>
      <c r="N380" s="96"/>
      <c r="O380" s="96"/>
      <c r="P380" s="97"/>
      <c r="Q380" s="97"/>
      <c r="R380" s="12"/>
      <c r="S380" s="12"/>
      <c r="T380" s="13"/>
      <c r="U380" s="88"/>
      <c r="V380" s="26"/>
    </row>
    <row r="381" spans="2:22" s="7" customFormat="1" ht="49.5" hidden="1" customHeight="1">
      <c r="B381" s="139" t="s">
        <v>140</v>
      </c>
      <c r="C381" s="85">
        <f t="shared" si="42"/>
        <v>36</v>
      </c>
      <c r="D381" s="91" t="s">
        <v>76</v>
      </c>
      <c r="E381" s="80"/>
      <c r="F381" s="80"/>
      <c r="G381" s="80"/>
      <c r="H381" s="134">
        <f t="shared" si="44"/>
        <v>0</v>
      </c>
      <c r="I381" s="115"/>
      <c r="J381" s="116"/>
      <c r="K381" s="117"/>
      <c r="L381" s="116"/>
      <c r="M381" s="118"/>
      <c r="N381" s="96"/>
      <c r="O381" s="96"/>
      <c r="P381" s="97"/>
      <c r="Q381" s="97"/>
      <c r="R381" s="12"/>
      <c r="S381" s="12"/>
      <c r="T381" s="13"/>
      <c r="U381" s="88"/>
      <c r="V381" s="26"/>
    </row>
    <row r="382" spans="2:22" s="7" customFormat="1" ht="49.5" hidden="1" customHeight="1">
      <c r="B382" s="139" t="s">
        <v>140</v>
      </c>
      <c r="C382" s="85">
        <f t="shared" si="42"/>
        <v>37</v>
      </c>
      <c r="D382" s="91" t="s">
        <v>76</v>
      </c>
      <c r="E382" s="80"/>
      <c r="F382" s="80"/>
      <c r="G382" s="80"/>
      <c r="H382" s="134">
        <f t="shared" si="44"/>
        <v>0</v>
      </c>
      <c r="I382" s="115"/>
      <c r="J382" s="116"/>
      <c r="K382" s="117"/>
      <c r="L382" s="116"/>
      <c r="M382" s="118"/>
      <c r="N382" s="96"/>
      <c r="O382" s="96"/>
      <c r="P382" s="97"/>
      <c r="Q382" s="97"/>
      <c r="R382" s="12"/>
      <c r="S382" s="12"/>
      <c r="T382" s="13"/>
      <c r="U382" s="88"/>
      <c r="V382" s="26"/>
    </row>
    <row r="383" spans="2:22" s="7" customFormat="1" ht="49.5" hidden="1" customHeight="1">
      <c r="B383" s="139" t="s">
        <v>140</v>
      </c>
      <c r="C383" s="85">
        <f t="shared" si="42"/>
        <v>38</v>
      </c>
      <c r="D383" s="91" t="s">
        <v>76</v>
      </c>
      <c r="E383" s="80"/>
      <c r="F383" s="80"/>
      <c r="G383" s="80"/>
      <c r="H383" s="134">
        <f t="shared" si="44"/>
        <v>0</v>
      </c>
      <c r="I383" s="115"/>
      <c r="J383" s="116"/>
      <c r="K383" s="117"/>
      <c r="L383" s="116"/>
      <c r="M383" s="118"/>
      <c r="N383" s="96"/>
      <c r="O383" s="96"/>
      <c r="P383" s="97"/>
      <c r="Q383" s="97"/>
      <c r="R383" s="12"/>
      <c r="S383" s="12"/>
      <c r="T383" s="13"/>
      <c r="U383" s="88"/>
      <c r="V383" s="26"/>
    </row>
    <row r="384" spans="2:22" s="7" customFormat="1" ht="49.5" hidden="1" customHeight="1">
      <c r="B384" s="139" t="s">
        <v>140</v>
      </c>
      <c r="C384" s="85">
        <f t="shared" si="42"/>
        <v>39</v>
      </c>
      <c r="D384" s="91" t="s">
        <v>76</v>
      </c>
      <c r="E384" s="80"/>
      <c r="F384" s="80"/>
      <c r="G384" s="80"/>
      <c r="H384" s="134">
        <f t="shared" si="44"/>
        <v>0</v>
      </c>
      <c r="I384" s="115"/>
      <c r="J384" s="116"/>
      <c r="K384" s="117"/>
      <c r="L384" s="116"/>
      <c r="M384" s="118"/>
      <c r="N384" s="96"/>
      <c r="O384" s="96"/>
      <c r="P384" s="97"/>
      <c r="Q384" s="97"/>
      <c r="R384" s="12"/>
      <c r="S384" s="12"/>
      <c r="T384" s="13"/>
      <c r="U384" s="88"/>
      <c r="V384" s="26"/>
    </row>
    <row r="385" spans="2:22" s="7" customFormat="1" ht="49.5" hidden="1" customHeight="1">
      <c r="B385" s="139" t="s">
        <v>140</v>
      </c>
      <c r="C385" s="85">
        <f t="shared" si="42"/>
        <v>40</v>
      </c>
      <c r="D385" s="91" t="s">
        <v>76</v>
      </c>
      <c r="E385" s="80"/>
      <c r="F385" s="80"/>
      <c r="G385" s="80"/>
      <c r="H385" s="134">
        <f t="shared" si="44"/>
        <v>0</v>
      </c>
      <c r="I385" s="115"/>
      <c r="J385" s="116"/>
      <c r="K385" s="117"/>
      <c r="L385" s="116"/>
      <c r="M385" s="118"/>
      <c r="N385" s="96"/>
      <c r="O385" s="96"/>
      <c r="P385" s="97"/>
      <c r="Q385" s="97"/>
      <c r="R385" s="12"/>
      <c r="S385" s="12"/>
      <c r="T385" s="13"/>
      <c r="U385" s="88"/>
      <c r="V385" s="26"/>
    </row>
    <row r="386" spans="2:22" s="7" customFormat="1" ht="49.5" hidden="1" customHeight="1">
      <c r="B386" s="139" t="s">
        <v>140</v>
      </c>
      <c r="C386" s="85">
        <f t="shared" si="42"/>
        <v>41</v>
      </c>
      <c r="D386" s="91" t="s">
        <v>76</v>
      </c>
      <c r="E386" s="80"/>
      <c r="F386" s="80"/>
      <c r="G386" s="80"/>
      <c r="H386" s="134">
        <f t="shared" si="44"/>
        <v>0</v>
      </c>
      <c r="I386" s="115"/>
      <c r="J386" s="116"/>
      <c r="K386" s="117"/>
      <c r="L386" s="116"/>
      <c r="M386" s="118"/>
      <c r="N386" s="96"/>
      <c r="O386" s="96"/>
      <c r="P386" s="97"/>
      <c r="Q386" s="97"/>
      <c r="R386" s="12"/>
      <c r="S386" s="12"/>
      <c r="T386" s="13"/>
      <c r="U386" s="88"/>
      <c r="V386" s="26"/>
    </row>
    <row r="387" spans="2:22" s="7" customFormat="1" ht="49.5" hidden="1" customHeight="1">
      <c r="B387" s="139" t="s">
        <v>140</v>
      </c>
      <c r="C387" s="85">
        <f t="shared" si="42"/>
        <v>42</v>
      </c>
      <c r="D387" s="91" t="s">
        <v>76</v>
      </c>
      <c r="E387" s="80"/>
      <c r="F387" s="80"/>
      <c r="G387" s="80"/>
      <c r="H387" s="134">
        <f t="shared" si="44"/>
        <v>0</v>
      </c>
      <c r="I387" s="115"/>
      <c r="J387" s="116"/>
      <c r="K387" s="117"/>
      <c r="L387" s="116"/>
      <c r="M387" s="118"/>
      <c r="N387" s="96"/>
      <c r="O387" s="96"/>
      <c r="P387" s="97"/>
      <c r="Q387" s="97"/>
      <c r="R387" s="12"/>
      <c r="S387" s="12"/>
      <c r="T387" s="13"/>
      <c r="U387" s="88"/>
      <c r="V387" s="26"/>
    </row>
    <row r="388" spans="2:22" s="7" customFormat="1" ht="49.5" hidden="1" customHeight="1">
      <c r="B388" s="139" t="s">
        <v>140</v>
      </c>
      <c r="C388" s="85">
        <f t="shared" si="42"/>
        <v>43</v>
      </c>
      <c r="D388" s="91" t="s">
        <v>76</v>
      </c>
      <c r="E388" s="80"/>
      <c r="F388" s="80"/>
      <c r="G388" s="80"/>
      <c r="H388" s="134">
        <f t="shared" si="44"/>
        <v>0</v>
      </c>
      <c r="I388" s="115"/>
      <c r="J388" s="116"/>
      <c r="K388" s="117"/>
      <c r="L388" s="116"/>
      <c r="M388" s="118"/>
      <c r="N388" s="96"/>
      <c r="O388" s="96"/>
      <c r="P388" s="97"/>
      <c r="Q388" s="97"/>
      <c r="R388" s="12"/>
      <c r="S388" s="12"/>
      <c r="T388" s="13"/>
      <c r="U388" s="88"/>
      <c r="V388" s="26"/>
    </row>
    <row r="389" spans="2:22" s="7" customFormat="1" ht="49.5" hidden="1" customHeight="1">
      <c r="B389" s="139" t="s">
        <v>140</v>
      </c>
      <c r="C389" s="85">
        <f t="shared" si="42"/>
        <v>44</v>
      </c>
      <c r="D389" s="91" t="s">
        <v>76</v>
      </c>
      <c r="E389" s="80"/>
      <c r="F389" s="80"/>
      <c r="G389" s="80"/>
      <c r="H389" s="134">
        <f t="shared" si="44"/>
        <v>0</v>
      </c>
      <c r="I389" s="115"/>
      <c r="J389" s="116"/>
      <c r="K389" s="117"/>
      <c r="L389" s="116"/>
      <c r="M389" s="118"/>
      <c r="N389" s="96"/>
      <c r="O389" s="96"/>
      <c r="P389" s="97"/>
      <c r="Q389" s="97"/>
      <c r="R389" s="12"/>
      <c r="S389" s="12"/>
      <c r="T389" s="13"/>
      <c r="U389" s="88"/>
      <c r="V389" s="26"/>
    </row>
    <row r="390" spans="2:22" s="7" customFormat="1" ht="49.5" hidden="1" customHeight="1">
      <c r="B390" s="139" t="s">
        <v>140</v>
      </c>
      <c r="C390" s="85">
        <f t="shared" si="42"/>
        <v>45</v>
      </c>
      <c r="D390" s="91" t="s">
        <v>76</v>
      </c>
      <c r="E390" s="80"/>
      <c r="F390" s="80"/>
      <c r="G390" s="80"/>
      <c r="H390" s="134">
        <f t="shared" si="44"/>
        <v>0</v>
      </c>
      <c r="I390" s="115"/>
      <c r="J390" s="116"/>
      <c r="K390" s="117"/>
      <c r="L390" s="116"/>
      <c r="M390" s="118"/>
      <c r="N390" s="96"/>
      <c r="O390" s="96"/>
      <c r="P390" s="97"/>
      <c r="Q390" s="97"/>
      <c r="R390" s="12"/>
      <c r="S390" s="12"/>
      <c r="T390" s="13"/>
      <c r="U390" s="88"/>
      <c r="V390" s="26"/>
    </row>
    <row r="391" spans="2:22" s="7" customFormat="1" ht="49.5" hidden="1" customHeight="1">
      <c r="B391" s="139" t="s">
        <v>140</v>
      </c>
      <c r="C391" s="85">
        <f t="shared" si="42"/>
        <v>46</v>
      </c>
      <c r="D391" s="91" t="s">
        <v>76</v>
      </c>
      <c r="E391" s="80"/>
      <c r="F391" s="80"/>
      <c r="G391" s="80"/>
      <c r="H391" s="134">
        <f t="shared" si="44"/>
        <v>0</v>
      </c>
      <c r="I391" s="115"/>
      <c r="J391" s="116"/>
      <c r="K391" s="117"/>
      <c r="L391" s="116"/>
      <c r="M391" s="118"/>
      <c r="N391" s="96"/>
      <c r="O391" s="96"/>
      <c r="P391" s="97"/>
      <c r="Q391" s="97"/>
      <c r="R391" s="12"/>
      <c r="S391" s="12"/>
      <c r="T391" s="13"/>
      <c r="U391" s="88"/>
      <c r="V391" s="26"/>
    </row>
    <row r="392" spans="2:22" s="7" customFormat="1" ht="49.5" hidden="1" customHeight="1">
      <c r="B392" s="139" t="s">
        <v>140</v>
      </c>
      <c r="C392" s="85">
        <f t="shared" si="42"/>
        <v>47</v>
      </c>
      <c r="D392" s="91" t="s">
        <v>76</v>
      </c>
      <c r="E392" s="80"/>
      <c r="F392" s="80"/>
      <c r="G392" s="80"/>
      <c r="H392" s="134">
        <f t="shared" si="44"/>
        <v>0</v>
      </c>
      <c r="I392" s="115"/>
      <c r="J392" s="116"/>
      <c r="K392" s="117"/>
      <c r="L392" s="116"/>
      <c r="M392" s="118"/>
      <c r="N392" s="96"/>
      <c r="O392" s="96"/>
      <c r="P392" s="97"/>
      <c r="Q392" s="97"/>
      <c r="R392" s="12"/>
      <c r="S392" s="12"/>
      <c r="T392" s="13"/>
      <c r="U392" s="88"/>
      <c r="V392" s="26"/>
    </row>
    <row r="393" spans="2:22" s="7" customFormat="1" ht="49.5" hidden="1" customHeight="1">
      <c r="B393" s="139" t="s">
        <v>140</v>
      </c>
      <c r="C393" s="85">
        <f t="shared" si="42"/>
        <v>48</v>
      </c>
      <c r="D393" s="91" t="s">
        <v>76</v>
      </c>
      <c r="E393" s="80"/>
      <c r="F393" s="80"/>
      <c r="G393" s="80"/>
      <c r="H393" s="134">
        <f t="shared" si="44"/>
        <v>0</v>
      </c>
      <c r="I393" s="115"/>
      <c r="J393" s="116"/>
      <c r="K393" s="117"/>
      <c r="L393" s="116"/>
      <c r="M393" s="118"/>
      <c r="N393" s="96"/>
      <c r="O393" s="96"/>
      <c r="P393" s="97"/>
      <c r="Q393" s="97"/>
      <c r="R393" s="12"/>
      <c r="S393" s="12"/>
      <c r="T393" s="13"/>
      <c r="U393" s="88"/>
      <c r="V393" s="26"/>
    </row>
    <row r="394" spans="2:22" s="7" customFormat="1" ht="49.5" hidden="1" customHeight="1">
      <c r="B394" s="139" t="s">
        <v>140</v>
      </c>
      <c r="C394" s="85">
        <f t="shared" si="42"/>
        <v>49</v>
      </c>
      <c r="D394" s="91" t="s">
        <v>76</v>
      </c>
      <c r="E394" s="80"/>
      <c r="F394" s="80"/>
      <c r="G394" s="80"/>
      <c r="H394" s="134">
        <f t="shared" ref="H394:H415" si="45">IF(L394&lt;=0,I394*J394,I394*J394*L394)</f>
        <v>0</v>
      </c>
      <c r="I394" s="115"/>
      <c r="J394" s="116"/>
      <c r="K394" s="117"/>
      <c r="L394" s="116"/>
      <c r="M394" s="118"/>
      <c r="N394" s="96"/>
      <c r="O394" s="96"/>
      <c r="P394" s="97"/>
      <c r="Q394" s="97"/>
      <c r="R394" s="12"/>
      <c r="S394" s="12"/>
      <c r="T394" s="13"/>
      <c r="U394" s="88"/>
      <c r="V394" s="26"/>
    </row>
    <row r="395" spans="2:22" s="7" customFormat="1" ht="49.5" hidden="1" customHeight="1">
      <c r="B395" s="139" t="s">
        <v>140</v>
      </c>
      <c r="C395" s="85">
        <f t="shared" si="42"/>
        <v>50</v>
      </c>
      <c r="D395" s="91" t="s">
        <v>76</v>
      </c>
      <c r="E395" s="80"/>
      <c r="F395" s="80"/>
      <c r="G395" s="80"/>
      <c r="H395" s="134">
        <f t="shared" si="45"/>
        <v>0</v>
      </c>
      <c r="I395" s="115"/>
      <c r="J395" s="116"/>
      <c r="K395" s="117"/>
      <c r="L395" s="116"/>
      <c r="M395" s="118"/>
      <c r="N395" s="96"/>
      <c r="O395" s="96"/>
      <c r="P395" s="97"/>
      <c r="Q395" s="97"/>
      <c r="R395" s="12"/>
      <c r="S395" s="12"/>
      <c r="T395" s="13"/>
      <c r="U395" s="88"/>
      <c r="V395" s="26"/>
    </row>
    <row r="396" spans="2:22" s="7" customFormat="1" ht="49.5" hidden="1" customHeight="1">
      <c r="B396" s="139" t="s">
        <v>140</v>
      </c>
      <c r="C396" s="85">
        <f t="shared" si="42"/>
        <v>51</v>
      </c>
      <c r="D396" s="91" t="s">
        <v>76</v>
      </c>
      <c r="E396" s="80"/>
      <c r="F396" s="80"/>
      <c r="G396" s="80"/>
      <c r="H396" s="134">
        <f t="shared" si="45"/>
        <v>0</v>
      </c>
      <c r="I396" s="115"/>
      <c r="J396" s="116"/>
      <c r="K396" s="117"/>
      <c r="L396" s="116"/>
      <c r="M396" s="118"/>
      <c r="N396" s="96"/>
      <c r="O396" s="96"/>
      <c r="P396" s="97"/>
      <c r="Q396" s="97"/>
      <c r="R396" s="12"/>
      <c r="S396" s="12"/>
      <c r="T396" s="13"/>
      <c r="U396" s="88"/>
      <c r="V396" s="26"/>
    </row>
    <row r="397" spans="2:22" s="7" customFormat="1" ht="49.5" hidden="1" customHeight="1">
      <c r="B397" s="139" t="s">
        <v>140</v>
      </c>
      <c r="C397" s="85">
        <f t="shared" si="42"/>
        <v>52</v>
      </c>
      <c r="D397" s="91" t="s">
        <v>76</v>
      </c>
      <c r="E397" s="80"/>
      <c r="F397" s="80"/>
      <c r="G397" s="80"/>
      <c r="H397" s="134">
        <f t="shared" si="45"/>
        <v>0</v>
      </c>
      <c r="I397" s="115"/>
      <c r="J397" s="116"/>
      <c r="K397" s="117"/>
      <c r="L397" s="116"/>
      <c r="M397" s="118"/>
      <c r="N397" s="96"/>
      <c r="O397" s="96"/>
      <c r="P397" s="97"/>
      <c r="Q397" s="97"/>
      <c r="R397" s="12"/>
      <c r="S397" s="12"/>
      <c r="T397" s="13"/>
      <c r="U397" s="88"/>
      <c r="V397" s="26"/>
    </row>
    <row r="398" spans="2:22" s="7" customFormat="1" ht="49.5" hidden="1" customHeight="1">
      <c r="B398" s="139" t="s">
        <v>140</v>
      </c>
      <c r="C398" s="85">
        <f t="shared" si="42"/>
        <v>53</v>
      </c>
      <c r="D398" s="91" t="s">
        <v>76</v>
      </c>
      <c r="E398" s="80"/>
      <c r="F398" s="80"/>
      <c r="G398" s="80"/>
      <c r="H398" s="134">
        <f t="shared" si="45"/>
        <v>0</v>
      </c>
      <c r="I398" s="115"/>
      <c r="J398" s="116"/>
      <c r="K398" s="117"/>
      <c r="L398" s="116"/>
      <c r="M398" s="118"/>
      <c r="N398" s="96"/>
      <c r="O398" s="96"/>
      <c r="P398" s="97"/>
      <c r="Q398" s="97"/>
      <c r="R398" s="12"/>
      <c r="S398" s="12"/>
      <c r="T398" s="13"/>
      <c r="U398" s="88"/>
      <c r="V398" s="26"/>
    </row>
    <row r="399" spans="2:22" s="7" customFormat="1" ht="49.5" hidden="1" customHeight="1">
      <c r="B399" s="139" t="s">
        <v>140</v>
      </c>
      <c r="C399" s="85">
        <f t="shared" si="42"/>
        <v>54</v>
      </c>
      <c r="D399" s="91" t="s">
        <v>76</v>
      </c>
      <c r="E399" s="80"/>
      <c r="F399" s="80"/>
      <c r="G399" s="80"/>
      <c r="H399" s="134">
        <f t="shared" si="45"/>
        <v>0</v>
      </c>
      <c r="I399" s="115"/>
      <c r="J399" s="116"/>
      <c r="K399" s="117"/>
      <c r="L399" s="116"/>
      <c r="M399" s="118"/>
      <c r="N399" s="96"/>
      <c r="O399" s="96"/>
      <c r="P399" s="97"/>
      <c r="Q399" s="97"/>
      <c r="R399" s="12"/>
      <c r="S399" s="12"/>
      <c r="T399" s="13"/>
      <c r="U399" s="88"/>
      <c r="V399" s="26"/>
    </row>
    <row r="400" spans="2:22" s="7" customFormat="1" ht="49.5" hidden="1" customHeight="1">
      <c r="B400" s="139" t="s">
        <v>140</v>
      </c>
      <c r="C400" s="85">
        <f t="shared" si="42"/>
        <v>55</v>
      </c>
      <c r="D400" s="91" t="s">
        <v>76</v>
      </c>
      <c r="E400" s="80"/>
      <c r="F400" s="80"/>
      <c r="G400" s="80"/>
      <c r="H400" s="134">
        <f t="shared" si="45"/>
        <v>0</v>
      </c>
      <c r="I400" s="115"/>
      <c r="J400" s="116"/>
      <c r="K400" s="117"/>
      <c r="L400" s="116"/>
      <c r="M400" s="118"/>
      <c r="N400" s="96"/>
      <c r="O400" s="96"/>
      <c r="P400" s="97"/>
      <c r="Q400" s="97"/>
      <c r="R400" s="12"/>
      <c r="S400" s="12"/>
      <c r="T400" s="13"/>
      <c r="U400" s="88"/>
      <c r="V400" s="26"/>
    </row>
    <row r="401" spans="2:22" s="7" customFormat="1" ht="49.5" hidden="1" customHeight="1">
      <c r="B401" s="139" t="s">
        <v>140</v>
      </c>
      <c r="C401" s="85">
        <f t="shared" si="42"/>
        <v>56</v>
      </c>
      <c r="D401" s="91" t="s">
        <v>76</v>
      </c>
      <c r="E401" s="80"/>
      <c r="F401" s="80"/>
      <c r="G401" s="80"/>
      <c r="H401" s="134">
        <f t="shared" si="45"/>
        <v>0</v>
      </c>
      <c r="I401" s="115"/>
      <c r="J401" s="116"/>
      <c r="K401" s="117"/>
      <c r="L401" s="116"/>
      <c r="M401" s="118"/>
      <c r="N401" s="96"/>
      <c r="O401" s="96"/>
      <c r="P401" s="97"/>
      <c r="Q401" s="97"/>
      <c r="R401" s="12"/>
      <c r="S401" s="12"/>
      <c r="T401" s="13"/>
      <c r="U401" s="88"/>
      <c r="V401" s="26"/>
    </row>
    <row r="402" spans="2:22" s="7" customFormat="1" ht="49.5" hidden="1" customHeight="1">
      <c r="B402" s="139" t="s">
        <v>140</v>
      </c>
      <c r="C402" s="85">
        <f t="shared" si="42"/>
        <v>57</v>
      </c>
      <c r="D402" s="91" t="s">
        <v>76</v>
      </c>
      <c r="E402" s="80"/>
      <c r="F402" s="80"/>
      <c r="G402" s="80"/>
      <c r="H402" s="134">
        <f t="shared" si="45"/>
        <v>0</v>
      </c>
      <c r="I402" s="115"/>
      <c r="J402" s="116"/>
      <c r="K402" s="117"/>
      <c r="L402" s="116"/>
      <c r="M402" s="118"/>
      <c r="N402" s="96"/>
      <c r="O402" s="96"/>
      <c r="P402" s="97"/>
      <c r="Q402" s="97"/>
      <c r="R402" s="12"/>
      <c r="S402" s="12"/>
      <c r="T402" s="13"/>
      <c r="U402" s="88"/>
      <c r="V402" s="26"/>
    </row>
    <row r="403" spans="2:22" s="7" customFormat="1" ht="49.5" hidden="1" customHeight="1">
      <c r="B403" s="139" t="s">
        <v>140</v>
      </c>
      <c r="C403" s="85">
        <f t="shared" si="42"/>
        <v>58</v>
      </c>
      <c r="D403" s="91" t="s">
        <v>76</v>
      </c>
      <c r="E403" s="80"/>
      <c r="F403" s="80"/>
      <c r="G403" s="80"/>
      <c r="H403" s="134">
        <f t="shared" si="45"/>
        <v>0</v>
      </c>
      <c r="I403" s="115"/>
      <c r="J403" s="116"/>
      <c r="K403" s="117"/>
      <c r="L403" s="116"/>
      <c r="M403" s="118"/>
      <c r="N403" s="96"/>
      <c r="O403" s="96"/>
      <c r="P403" s="97"/>
      <c r="Q403" s="97"/>
      <c r="R403" s="12"/>
      <c r="S403" s="12"/>
      <c r="T403" s="13"/>
      <c r="U403" s="88"/>
      <c r="V403" s="26"/>
    </row>
    <row r="404" spans="2:22" s="7" customFormat="1" ht="49.5" hidden="1" customHeight="1">
      <c r="B404" s="139" t="s">
        <v>140</v>
      </c>
      <c r="C404" s="85">
        <f t="shared" si="42"/>
        <v>59</v>
      </c>
      <c r="D404" s="91" t="s">
        <v>76</v>
      </c>
      <c r="E404" s="80"/>
      <c r="F404" s="80"/>
      <c r="G404" s="80"/>
      <c r="H404" s="134">
        <f t="shared" si="45"/>
        <v>0</v>
      </c>
      <c r="I404" s="115"/>
      <c r="J404" s="116"/>
      <c r="K404" s="117"/>
      <c r="L404" s="116"/>
      <c r="M404" s="118"/>
      <c r="N404" s="96"/>
      <c r="O404" s="96"/>
      <c r="P404" s="97"/>
      <c r="Q404" s="97"/>
      <c r="R404" s="12"/>
      <c r="S404" s="12"/>
      <c r="T404" s="13"/>
      <c r="U404" s="88"/>
      <c r="V404" s="26"/>
    </row>
    <row r="405" spans="2:22" s="7" customFormat="1" ht="49.5" hidden="1" customHeight="1">
      <c r="B405" s="139" t="s">
        <v>140</v>
      </c>
      <c r="C405" s="85">
        <f t="shared" si="42"/>
        <v>60</v>
      </c>
      <c r="D405" s="91" t="s">
        <v>76</v>
      </c>
      <c r="E405" s="80"/>
      <c r="F405" s="80"/>
      <c r="G405" s="80"/>
      <c r="H405" s="134">
        <f t="shared" si="45"/>
        <v>0</v>
      </c>
      <c r="I405" s="115"/>
      <c r="J405" s="116"/>
      <c r="K405" s="117"/>
      <c r="L405" s="116"/>
      <c r="M405" s="118"/>
      <c r="N405" s="96"/>
      <c r="O405" s="96"/>
      <c r="P405" s="97"/>
      <c r="Q405" s="97"/>
      <c r="R405" s="12"/>
      <c r="S405" s="12"/>
      <c r="T405" s="13"/>
      <c r="U405" s="88"/>
      <c r="V405" s="26"/>
    </row>
    <row r="406" spans="2:22" s="7" customFormat="1" ht="49.5" hidden="1" customHeight="1">
      <c r="B406" s="139" t="s">
        <v>140</v>
      </c>
      <c r="C406" s="85">
        <f t="shared" si="42"/>
        <v>61</v>
      </c>
      <c r="D406" s="91" t="s">
        <v>76</v>
      </c>
      <c r="E406" s="80"/>
      <c r="F406" s="80"/>
      <c r="G406" s="80"/>
      <c r="H406" s="134">
        <f t="shared" si="45"/>
        <v>0</v>
      </c>
      <c r="I406" s="115"/>
      <c r="J406" s="116"/>
      <c r="K406" s="117"/>
      <c r="L406" s="116"/>
      <c r="M406" s="118"/>
      <c r="N406" s="96"/>
      <c r="O406" s="96"/>
      <c r="P406" s="97"/>
      <c r="Q406" s="97"/>
      <c r="R406" s="12"/>
      <c r="S406" s="12"/>
      <c r="T406" s="13"/>
      <c r="U406" s="88"/>
      <c r="V406" s="26"/>
    </row>
    <row r="407" spans="2:22" s="7" customFormat="1" ht="49.5" hidden="1" customHeight="1">
      <c r="B407" s="139" t="s">
        <v>140</v>
      </c>
      <c r="C407" s="85">
        <f t="shared" si="42"/>
        <v>62</v>
      </c>
      <c r="D407" s="91" t="s">
        <v>76</v>
      </c>
      <c r="E407" s="80"/>
      <c r="F407" s="80"/>
      <c r="G407" s="80"/>
      <c r="H407" s="134">
        <f t="shared" si="45"/>
        <v>0</v>
      </c>
      <c r="I407" s="115"/>
      <c r="J407" s="116"/>
      <c r="K407" s="117"/>
      <c r="L407" s="116"/>
      <c r="M407" s="118"/>
      <c r="N407" s="96"/>
      <c r="O407" s="96"/>
      <c r="P407" s="97"/>
      <c r="Q407" s="97"/>
      <c r="R407" s="12"/>
      <c r="S407" s="12"/>
      <c r="T407" s="13"/>
      <c r="U407" s="88"/>
      <c r="V407" s="26"/>
    </row>
    <row r="408" spans="2:22" s="7" customFormat="1" ht="49.5" hidden="1" customHeight="1">
      <c r="B408" s="139" t="s">
        <v>140</v>
      </c>
      <c r="C408" s="85">
        <f t="shared" si="42"/>
        <v>63</v>
      </c>
      <c r="D408" s="91" t="s">
        <v>76</v>
      </c>
      <c r="E408" s="80"/>
      <c r="F408" s="80"/>
      <c r="G408" s="80"/>
      <c r="H408" s="134">
        <f t="shared" si="45"/>
        <v>0</v>
      </c>
      <c r="I408" s="115"/>
      <c r="J408" s="116"/>
      <c r="K408" s="117"/>
      <c r="L408" s="116"/>
      <c r="M408" s="118"/>
      <c r="N408" s="96"/>
      <c r="O408" s="96"/>
      <c r="P408" s="97"/>
      <c r="Q408" s="97"/>
      <c r="R408" s="12"/>
      <c r="S408" s="12"/>
      <c r="T408" s="13"/>
      <c r="U408" s="88"/>
      <c r="V408" s="26"/>
    </row>
    <row r="409" spans="2:22" s="7" customFormat="1" ht="49.5" hidden="1" customHeight="1">
      <c r="B409" s="139" t="s">
        <v>140</v>
      </c>
      <c r="C409" s="85">
        <f t="shared" si="42"/>
        <v>64</v>
      </c>
      <c r="D409" s="91" t="s">
        <v>76</v>
      </c>
      <c r="E409" s="80"/>
      <c r="F409" s="80"/>
      <c r="G409" s="80"/>
      <c r="H409" s="134">
        <f t="shared" si="45"/>
        <v>0</v>
      </c>
      <c r="I409" s="115"/>
      <c r="J409" s="116"/>
      <c r="K409" s="117"/>
      <c r="L409" s="116"/>
      <c r="M409" s="118"/>
      <c r="N409" s="96"/>
      <c r="O409" s="96"/>
      <c r="P409" s="97"/>
      <c r="Q409" s="97"/>
      <c r="R409" s="12"/>
      <c r="S409" s="12"/>
      <c r="T409" s="13"/>
      <c r="U409" s="88"/>
      <c r="V409" s="26"/>
    </row>
    <row r="410" spans="2:22" s="7" customFormat="1" ht="49.5" hidden="1" customHeight="1">
      <c r="B410" s="139" t="s">
        <v>140</v>
      </c>
      <c r="C410" s="85">
        <f t="shared" si="42"/>
        <v>65</v>
      </c>
      <c r="D410" s="91" t="s">
        <v>76</v>
      </c>
      <c r="E410" s="80"/>
      <c r="F410" s="80"/>
      <c r="G410" s="80"/>
      <c r="H410" s="134">
        <f t="shared" si="45"/>
        <v>0</v>
      </c>
      <c r="I410" s="115"/>
      <c r="J410" s="116"/>
      <c r="K410" s="117"/>
      <c r="L410" s="116"/>
      <c r="M410" s="118"/>
      <c r="N410" s="96"/>
      <c r="O410" s="96"/>
      <c r="P410" s="97"/>
      <c r="Q410" s="97"/>
      <c r="R410" s="12"/>
      <c r="S410" s="12"/>
      <c r="T410" s="13"/>
      <c r="U410" s="88"/>
      <c r="V410" s="26"/>
    </row>
    <row r="411" spans="2:22" s="7" customFormat="1" ht="49.5" hidden="1" customHeight="1">
      <c r="B411" s="139" t="s">
        <v>140</v>
      </c>
      <c r="C411" s="85">
        <f t="shared" si="42"/>
        <v>66</v>
      </c>
      <c r="D411" s="91" t="s">
        <v>76</v>
      </c>
      <c r="E411" s="80"/>
      <c r="F411" s="80"/>
      <c r="G411" s="80"/>
      <c r="H411" s="134">
        <f t="shared" si="45"/>
        <v>0</v>
      </c>
      <c r="I411" s="115"/>
      <c r="J411" s="116"/>
      <c r="K411" s="117"/>
      <c r="L411" s="116"/>
      <c r="M411" s="118"/>
      <c r="N411" s="96"/>
      <c r="O411" s="96"/>
      <c r="P411" s="97"/>
      <c r="Q411" s="97"/>
      <c r="R411" s="12"/>
      <c r="S411" s="12"/>
      <c r="T411" s="13"/>
      <c r="U411" s="88"/>
      <c r="V411" s="26"/>
    </row>
    <row r="412" spans="2:22" s="7" customFormat="1" ht="49.5" hidden="1" customHeight="1">
      <c r="B412" s="139" t="s">
        <v>140</v>
      </c>
      <c r="C412" s="85">
        <f t="shared" si="42"/>
        <v>67</v>
      </c>
      <c r="D412" s="91" t="s">
        <v>76</v>
      </c>
      <c r="E412" s="80"/>
      <c r="F412" s="80"/>
      <c r="G412" s="80"/>
      <c r="H412" s="134">
        <f t="shared" si="45"/>
        <v>0</v>
      </c>
      <c r="I412" s="115"/>
      <c r="J412" s="116"/>
      <c r="K412" s="117"/>
      <c r="L412" s="116"/>
      <c r="M412" s="118"/>
      <c r="N412" s="96"/>
      <c r="O412" s="96"/>
      <c r="P412" s="97"/>
      <c r="Q412" s="97"/>
      <c r="R412" s="12"/>
      <c r="S412" s="12"/>
      <c r="T412" s="13"/>
      <c r="U412" s="88"/>
      <c r="V412" s="26"/>
    </row>
    <row r="413" spans="2:22" s="7" customFormat="1" ht="49.5" hidden="1" customHeight="1">
      <c r="B413" s="139" t="s">
        <v>140</v>
      </c>
      <c r="C413" s="85">
        <f t="shared" si="42"/>
        <v>68</v>
      </c>
      <c r="D413" s="91" t="s">
        <v>76</v>
      </c>
      <c r="E413" s="80"/>
      <c r="F413" s="80"/>
      <c r="G413" s="80"/>
      <c r="H413" s="134">
        <f t="shared" si="45"/>
        <v>0</v>
      </c>
      <c r="I413" s="115"/>
      <c r="J413" s="116"/>
      <c r="K413" s="117"/>
      <c r="L413" s="116"/>
      <c r="M413" s="118"/>
      <c r="N413" s="96"/>
      <c r="O413" s="96"/>
      <c r="P413" s="97"/>
      <c r="Q413" s="97"/>
      <c r="R413" s="12"/>
      <c r="S413" s="12"/>
      <c r="T413" s="13"/>
      <c r="U413" s="88"/>
      <c r="V413" s="26"/>
    </row>
    <row r="414" spans="2:22" s="7" customFormat="1" ht="49.5" hidden="1" customHeight="1">
      <c r="B414" s="139" t="s">
        <v>140</v>
      </c>
      <c r="C414" s="85">
        <f t="shared" si="42"/>
        <v>69</v>
      </c>
      <c r="D414" s="91" t="s">
        <v>76</v>
      </c>
      <c r="E414" s="80"/>
      <c r="F414" s="80"/>
      <c r="G414" s="80"/>
      <c r="H414" s="134">
        <f t="shared" si="45"/>
        <v>0</v>
      </c>
      <c r="I414" s="115"/>
      <c r="J414" s="116"/>
      <c r="K414" s="117"/>
      <c r="L414" s="116"/>
      <c r="M414" s="118"/>
      <c r="N414" s="96"/>
      <c r="O414" s="96"/>
      <c r="P414" s="97"/>
      <c r="Q414" s="97"/>
      <c r="R414" s="12"/>
      <c r="S414" s="12"/>
      <c r="T414" s="13"/>
      <c r="U414" s="88"/>
      <c r="V414" s="26"/>
    </row>
    <row r="415" spans="2:22" s="7" customFormat="1" ht="49.5" hidden="1" customHeight="1">
      <c r="B415" s="139" t="s">
        <v>140</v>
      </c>
      <c r="C415" s="85">
        <f t="shared" si="42"/>
        <v>70</v>
      </c>
      <c r="D415" s="91" t="s">
        <v>76</v>
      </c>
      <c r="E415" s="80"/>
      <c r="F415" s="80"/>
      <c r="G415" s="80"/>
      <c r="H415" s="134">
        <f t="shared" si="45"/>
        <v>0</v>
      </c>
      <c r="I415" s="115"/>
      <c r="J415" s="116"/>
      <c r="K415" s="117"/>
      <c r="L415" s="116"/>
      <c r="M415" s="118"/>
      <c r="N415" s="96"/>
      <c r="O415" s="96"/>
      <c r="P415" s="97"/>
      <c r="Q415" s="97"/>
      <c r="R415" s="12"/>
      <c r="S415" s="12"/>
      <c r="T415" s="13"/>
      <c r="U415" s="88"/>
      <c r="V415" s="26"/>
    </row>
    <row r="416" spans="2:22" s="7" customFormat="1" ht="49.5" hidden="1" customHeight="1">
      <c r="B416" s="139" t="s">
        <v>140</v>
      </c>
      <c r="C416" s="85">
        <f t="shared" si="42"/>
        <v>71</v>
      </c>
      <c r="D416" s="91" t="s">
        <v>76</v>
      </c>
      <c r="E416" s="80"/>
      <c r="F416" s="80"/>
      <c r="G416" s="80"/>
      <c r="H416" s="134">
        <f t="shared" ref="H416:H436" si="46">IF(L416&lt;=0,I416*J416,I416*J416*L416)</f>
        <v>0</v>
      </c>
      <c r="I416" s="115"/>
      <c r="J416" s="116"/>
      <c r="K416" s="117"/>
      <c r="L416" s="116"/>
      <c r="M416" s="118"/>
      <c r="N416" s="96"/>
      <c r="O416" s="96"/>
      <c r="P416" s="97"/>
      <c r="Q416" s="97"/>
      <c r="R416" s="12"/>
      <c r="S416" s="12"/>
      <c r="T416" s="13"/>
      <c r="U416" s="88"/>
      <c r="V416" s="26"/>
    </row>
    <row r="417" spans="2:22" s="7" customFormat="1" ht="49.5" hidden="1" customHeight="1">
      <c r="B417" s="139" t="s">
        <v>140</v>
      </c>
      <c r="C417" s="85">
        <f t="shared" si="42"/>
        <v>72</v>
      </c>
      <c r="D417" s="91" t="s">
        <v>76</v>
      </c>
      <c r="E417" s="80"/>
      <c r="F417" s="80"/>
      <c r="G417" s="80"/>
      <c r="H417" s="134">
        <f t="shared" si="46"/>
        <v>0</v>
      </c>
      <c r="I417" s="115"/>
      <c r="J417" s="116"/>
      <c r="K417" s="117"/>
      <c r="L417" s="116"/>
      <c r="M417" s="118"/>
      <c r="N417" s="96"/>
      <c r="O417" s="96"/>
      <c r="P417" s="97"/>
      <c r="Q417" s="97"/>
      <c r="R417" s="12"/>
      <c r="S417" s="12"/>
      <c r="T417" s="13"/>
      <c r="U417" s="88"/>
      <c r="V417" s="26"/>
    </row>
    <row r="418" spans="2:22" s="7" customFormat="1" ht="49.5" hidden="1" customHeight="1">
      <c r="B418" s="139" t="s">
        <v>140</v>
      </c>
      <c r="C418" s="85">
        <f t="shared" si="42"/>
        <v>73</v>
      </c>
      <c r="D418" s="91" t="s">
        <v>76</v>
      </c>
      <c r="E418" s="80"/>
      <c r="F418" s="80"/>
      <c r="G418" s="80"/>
      <c r="H418" s="134">
        <f t="shared" si="46"/>
        <v>0</v>
      </c>
      <c r="I418" s="115"/>
      <c r="J418" s="116"/>
      <c r="K418" s="117"/>
      <c r="L418" s="116"/>
      <c r="M418" s="118"/>
      <c r="N418" s="96"/>
      <c r="O418" s="96"/>
      <c r="P418" s="97"/>
      <c r="Q418" s="97"/>
      <c r="R418" s="12"/>
      <c r="S418" s="12"/>
      <c r="T418" s="13"/>
      <c r="U418" s="88"/>
      <c r="V418" s="26"/>
    </row>
    <row r="419" spans="2:22" s="7" customFormat="1" ht="49.5" hidden="1" customHeight="1">
      <c r="B419" s="139" t="s">
        <v>140</v>
      </c>
      <c r="C419" s="85">
        <f t="shared" si="42"/>
        <v>74</v>
      </c>
      <c r="D419" s="91" t="s">
        <v>76</v>
      </c>
      <c r="E419" s="80"/>
      <c r="F419" s="80"/>
      <c r="G419" s="80"/>
      <c r="H419" s="134">
        <f t="shared" si="46"/>
        <v>0</v>
      </c>
      <c r="I419" s="115"/>
      <c r="J419" s="116"/>
      <c r="K419" s="117"/>
      <c r="L419" s="116"/>
      <c r="M419" s="118"/>
      <c r="N419" s="96"/>
      <c r="O419" s="96"/>
      <c r="P419" s="97"/>
      <c r="Q419" s="97"/>
      <c r="R419" s="12"/>
      <c r="S419" s="12"/>
      <c r="T419" s="13"/>
      <c r="U419" s="88"/>
      <c r="V419" s="26"/>
    </row>
    <row r="420" spans="2:22" s="7" customFormat="1" ht="49.5" hidden="1" customHeight="1">
      <c r="B420" s="139" t="s">
        <v>140</v>
      </c>
      <c r="C420" s="85">
        <f t="shared" si="42"/>
        <v>75</v>
      </c>
      <c r="D420" s="91" t="s">
        <v>76</v>
      </c>
      <c r="E420" s="80"/>
      <c r="F420" s="80"/>
      <c r="G420" s="80"/>
      <c r="H420" s="134">
        <f t="shared" si="46"/>
        <v>0</v>
      </c>
      <c r="I420" s="115"/>
      <c r="J420" s="116"/>
      <c r="K420" s="117"/>
      <c r="L420" s="116"/>
      <c r="M420" s="118"/>
      <c r="N420" s="96"/>
      <c r="O420" s="96"/>
      <c r="P420" s="97"/>
      <c r="Q420" s="97"/>
      <c r="R420" s="12"/>
      <c r="S420" s="12"/>
      <c r="T420" s="13"/>
      <c r="U420" s="88"/>
      <c r="V420" s="26"/>
    </row>
    <row r="421" spans="2:22" s="7" customFormat="1" ht="49.5" hidden="1" customHeight="1">
      <c r="B421" s="139" t="s">
        <v>140</v>
      </c>
      <c r="C421" s="85">
        <f t="shared" si="42"/>
        <v>76</v>
      </c>
      <c r="D421" s="91" t="s">
        <v>76</v>
      </c>
      <c r="E421" s="80"/>
      <c r="F421" s="80"/>
      <c r="G421" s="80"/>
      <c r="H421" s="134">
        <f t="shared" si="46"/>
        <v>0</v>
      </c>
      <c r="I421" s="115"/>
      <c r="J421" s="116"/>
      <c r="K421" s="117"/>
      <c r="L421" s="116"/>
      <c r="M421" s="118"/>
      <c r="N421" s="96"/>
      <c r="O421" s="96"/>
      <c r="P421" s="97"/>
      <c r="Q421" s="97"/>
      <c r="R421" s="12"/>
      <c r="S421" s="12"/>
      <c r="T421" s="13"/>
      <c r="U421" s="88"/>
      <c r="V421" s="26"/>
    </row>
    <row r="422" spans="2:22" s="7" customFormat="1" ht="49.5" hidden="1" customHeight="1">
      <c r="B422" s="139" t="s">
        <v>140</v>
      </c>
      <c r="C422" s="85">
        <f t="shared" si="42"/>
        <v>77</v>
      </c>
      <c r="D422" s="91" t="s">
        <v>76</v>
      </c>
      <c r="E422" s="80"/>
      <c r="F422" s="80"/>
      <c r="G422" s="80"/>
      <c r="H422" s="134">
        <f t="shared" si="46"/>
        <v>0</v>
      </c>
      <c r="I422" s="115"/>
      <c r="J422" s="116"/>
      <c r="K422" s="117"/>
      <c r="L422" s="116"/>
      <c r="M422" s="118"/>
      <c r="N422" s="96"/>
      <c r="O422" s="96"/>
      <c r="P422" s="97"/>
      <c r="Q422" s="97"/>
      <c r="R422" s="12"/>
      <c r="S422" s="12"/>
      <c r="T422" s="13"/>
      <c r="U422" s="88"/>
      <c r="V422" s="26"/>
    </row>
    <row r="423" spans="2:22" s="7" customFormat="1" ht="49.5" hidden="1" customHeight="1">
      <c r="B423" s="139" t="s">
        <v>140</v>
      </c>
      <c r="C423" s="85">
        <f t="shared" si="42"/>
        <v>78</v>
      </c>
      <c r="D423" s="91" t="s">
        <v>76</v>
      </c>
      <c r="E423" s="80"/>
      <c r="F423" s="80"/>
      <c r="G423" s="80"/>
      <c r="H423" s="134">
        <f t="shared" si="46"/>
        <v>0</v>
      </c>
      <c r="I423" s="115"/>
      <c r="J423" s="116"/>
      <c r="K423" s="117"/>
      <c r="L423" s="116"/>
      <c r="M423" s="118"/>
      <c r="N423" s="96"/>
      <c r="O423" s="96"/>
      <c r="P423" s="97"/>
      <c r="Q423" s="97"/>
      <c r="R423" s="12"/>
      <c r="S423" s="12"/>
      <c r="T423" s="13"/>
      <c r="U423" s="88"/>
      <c r="V423" s="26"/>
    </row>
    <row r="424" spans="2:22" s="7" customFormat="1" ht="49.5" hidden="1" customHeight="1">
      <c r="B424" s="139" t="s">
        <v>140</v>
      </c>
      <c r="C424" s="85">
        <f t="shared" si="42"/>
        <v>79</v>
      </c>
      <c r="D424" s="91" t="s">
        <v>76</v>
      </c>
      <c r="E424" s="80"/>
      <c r="F424" s="80"/>
      <c r="G424" s="80"/>
      <c r="H424" s="134">
        <f t="shared" si="46"/>
        <v>0</v>
      </c>
      <c r="I424" s="115"/>
      <c r="J424" s="116"/>
      <c r="K424" s="117"/>
      <c r="L424" s="116"/>
      <c r="M424" s="118"/>
      <c r="N424" s="96"/>
      <c r="O424" s="96"/>
      <c r="P424" s="97"/>
      <c r="Q424" s="97"/>
      <c r="R424" s="12"/>
      <c r="S424" s="12"/>
      <c r="T424" s="13"/>
      <c r="U424" s="88"/>
      <c r="V424" s="26"/>
    </row>
    <row r="425" spans="2:22" s="7" customFormat="1" ht="49.5" hidden="1" customHeight="1">
      <c r="B425" s="139" t="s">
        <v>140</v>
      </c>
      <c r="C425" s="85">
        <f t="shared" si="42"/>
        <v>80</v>
      </c>
      <c r="D425" s="91" t="s">
        <v>76</v>
      </c>
      <c r="E425" s="80"/>
      <c r="F425" s="80"/>
      <c r="G425" s="80"/>
      <c r="H425" s="134">
        <f t="shared" si="46"/>
        <v>0</v>
      </c>
      <c r="I425" s="115"/>
      <c r="J425" s="116"/>
      <c r="K425" s="117"/>
      <c r="L425" s="116"/>
      <c r="M425" s="118"/>
      <c r="N425" s="96"/>
      <c r="O425" s="96"/>
      <c r="P425" s="97"/>
      <c r="Q425" s="97"/>
      <c r="R425" s="12"/>
      <c r="S425" s="12"/>
      <c r="T425" s="13"/>
      <c r="U425" s="88"/>
      <c r="V425" s="26"/>
    </row>
    <row r="426" spans="2:22" s="7" customFormat="1" ht="49.5" hidden="1" customHeight="1">
      <c r="B426" s="139" t="s">
        <v>140</v>
      </c>
      <c r="C426" s="85">
        <f t="shared" si="42"/>
        <v>81</v>
      </c>
      <c r="D426" s="91" t="s">
        <v>76</v>
      </c>
      <c r="E426" s="80"/>
      <c r="F426" s="80"/>
      <c r="G426" s="80"/>
      <c r="H426" s="134">
        <f t="shared" si="46"/>
        <v>0</v>
      </c>
      <c r="I426" s="115"/>
      <c r="J426" s="116"/>
      <c r="K426" s="117"/>
      <c r="L426" s="116"/>
      <c r="M426" s="118"/>
      <c r="N426" s="96"/>
      <c r="O426" s="96"/>
      <c r="P426" s="97"/>
      <c r="Q426" s="97"/>
      <c r="R426" s="12"/>
      <c r="S426" s="12"/>
      <c r="T426" s="13"/>
      <c r="U426" s="88"/>
      <c r="V426" s="26"/>
    </row>
    <row r="427" spans="2:22" s="7" customFormat="1" ht="49.5" hidden="1" customHeight="1">
      <c r="B427" s="139" t="s">
        <v>140</v>
      </c>
      <c r="C427" s="85">
        <f t="shared" si="42"/>
        <v>82</v>
      </c>
      <c r="D427" s="91" t="s">
        <v>76</v>
      </c>
      <c r="E427" s="80"/>
      <c r="F427" s="80"/>
      <c r="G427" s="80"/>
      <c r="H427" s="134">
        <f t="shared" si="46"/>
        <v>0</v>
      </c>
      <c r="I427" s="115"/>
      <c r="J427" s="116"/>
      <c r="K427" s="117"/>
      <c r="L427" s="116"/>
      <c r="M427" s="118"/>
      <c r="N427" s="96"/>
      <c r="O427" s="96"/>
      <c r="P427" s="97"/>
      <c r="Q427" s="97"/>
      <c r="R427" s="12"/>
      <c r="S427" s="12"/>
      <c r="T427" s="13"/>
      <c r="U427" s="88"/>
      <c r="V427" s="26"/>
    </row>
    <row r="428" spans="2:22" s="7" customFormat="1" ht="49.5" hidden="1" customHeight="1">
      <c r="B428" s="139" t="s">
        <v>140</v>
      </c>
      <c r="C428" s="85">
        <f t="shared" si="42"/>
        <v>83</v>
      </c>
      <c r="D428" s="91" t="s">
        <v>76</v>
      </c>
      <c r="E428" s="80"/>
      <c r="F428" s="80"/>
      <c r="G428" s="80"/>
      <c r="H428" s="134">
        <f t="shared" si="46"/>
        <v>0</v>
      </c>
      <c r="I428" s="115"/>
      <c r="J428" s="116"/>
      <c r="K428" s="117"/>
      <c r="L428" s="116"/>
      <c r="M428" s="118"/>
      <c r="N428" s="96"/>
      <c r="O428" s="96"/>
      <c r="P428" s="97"/>
      <c r="Q428" s="97"/>
      <c r="R428" s="12"/>
      <c r="S428" s="12"/>
      <c r="T428" s="13"/>
      <c r="U428" s="88"/>
      <c r="V428" s="26"/>
    </row>
    <row r="429" spans="2:22" s="7" customFormat="1" ht="49.5" hidden="1" customHeight="1">
      <c r="B429" s="139" t="s">
        <v>140</v>
      </c>
      <c r="C429" s="85">
        <f t="shared" si="42"/>
        <v>84</v>
      </c>
      <c r="D429" s="91" t="s">
        <v>76</v>
      </c>
      <c r="E429" s="80"/>
      <c r="F429" s="80"/>
      <c r="G429" s="80"/>
      <c r="H429" s="134">
        <f t="shared" si="46"/>
        <v>0</v>
      </c>
      <c r="I429" s="115"/>
      <c r="J429" s="116"/>
      <c r="K429" s="117"/>
      <c r="L429" s="116"/>
      <c r="M429" s="118"/>
      <c r="N429" s="96"/>
      <c r="O429" s="96"/>
      <c r="P429" s="97"/>
      <c r="Q429" s="97"/>
      <c r="R429" s="12"/>
      <c r="S429" s="12"/>
      <c r="T429" s="13"/>
      <c r="U429" s="88"/>
      <c r="V429" s="26"/>
    </row>
    <row r="430" spans="2:22" s="7" customFormat="1" ht="49.5" hidden="1" customHeight="1">
      <c r="B430" s="139" t="s">
        <v>140</v>
      </c>
      <c r="C430" s="85">
        <f t="shared" si="42"/>
        <v>85</v>
      </c>
      <c r="D430" s="91" t="s">
        <v>76</v>
      </c>
      <c r="E430" s="80"/>
      <c r="F430" s="80"/>
      <c r="G430" s="80"/>
      <c r="H430" s="134">
        <f t="shared" si="46"/>
        <v>0</v>
      </c>
      <c r="I430" s="115"/>
      <c r="J430" s="116"/>
      <c r="K430" s="117"/>
      <c r="L430" s="116"/>
      <c r="M430" s="118"/>
      <c r="N430" s="96"/>
      <c r="O430" s="96"/>
      <c r="P430" s="97"/>
      <c r="Q430" s="97"/>
      <c r="R430" s="12"/>
      <c r="S430" s="12"/>
      <c r="T430" s="13"/>
      <c r="U430" s="88"/>
      <c r="V430" s="26"/>
    </row>
    <row r="431" spans="2:22" s="7" customFormat="1" ht="49.5" hidden="1" customHeight="1">
      <c r="B431" s="139" t="s">
        <v>140</v>
      </c>
      <c r="C431" s="85">
        <f t="shared" si="42"/>
        <v>86</v>
      </c>
      <c r="D431" s="91" t="s">
        <v>76</v>
      </c>
      <c r="E431" s="80"/>
      <c r="F431" s="80"/>
      <c r="G431" s="80"/>
      <c r="H431" s="134">
        <f t="shared" si="46"/>
        <v>0</v>
      </c>
      <c r="I431" s="115"/>
      <c r="J431" s="116"/>
      <c r="K431" s="117"/>
      <c r="L431" s="116"/>
      <c r="M431" s="118"/>
      <c r="N431" s="96"/>
      <c r="O431" s="96"/>
      <c r="P431" s="97"/>
      <c r="Q431" s="97"/>
      <c r="R431" s="12"/>
      <c r="S431" s="12"/>
      <c r="T431" s="13"/>
      <c r="U431" s="88"/>
      <c r="V431" s="26"/>
    </row>
    <row r="432" spans="2:22" s="7" customFormat="1" ht="49.5" hidden="1" customHeight="1">
      <c r="B432" s="139" t="s">
        <v>140</v>
      </c>
      <c r="C432" s="85">
        <f t="shared" si="42"/>
        <v>87</v>
      </c>
      <c r="D432" s="91" t="s">
        <v>76</v>
      </c>
      <c r="E432" s="80"/>
      <c r="F432" s="80"/>
      <c r="G432" s="80"/>
      <c r="H432" s="134">
        <f t="shared" si="46"/>
        <v>0</v>
      </c>
      <c r="I432" s="115"/>
      <c r="J432" s="116"/>
      <c r="K432" s="117"/>
      <c r="L432" s="116"/>
      <c r="M432" s="118"/>
      <c r="N432" s="96"/>
      <c r="O432" s="96"/>
      <c r="P432" s="97"/>
      <c r="Q432" s="97"/>
      <c r="R432" s="12"/>
      <c r="S432" s="12"/>
      <c r="T432" s="13"/>
      <c r="U432" s="88"/>
      <c r="V432" s="26"/>
    </row>
    <row r="433" spans="2:22" s="7" customFormat="1" ht="49.5" hidden="1" customHeight="1">
      <c r="B433" s="139" t="s">
        <v>140</v>
      </c>
      <c r="C433" s="85">
        <f t="shared" si="42"/>
        <v>88</v>
      </c>
      <c r="D433" s="91" t="s">
        <v>76</v>
      </c>
      <c r="E433" s="80"/>
      <c r="F433" s="80"/>
      <c r="G433" s="80"/>
      <c r="H433" s="134">
        <f t="shared" si="46"/>
        <v>0</v>
      </c>
      <c r="I433" s="115"/>
      <c r="J433" s="116"/>
      <c r="K433" s="117"/>
      <c r="L433" s="116"/>
      <c r="M433" s="118"/>
      <c r="N433" s="96"/>
      <c r="O433" s="96"/>
      <c r="P433" s="97"/>
      <c r="Q433" s="97"/>
      <c r="R433" s="12"/>
      <c r="S433" s="12"/>
      <c r="T433" s="13"/>
      <c r="U433" s="88"/>
      <c r="V433" s="26"/>
    </row>
    <row r="434" spans="2:22" s="7" customFormat="1" ht="49.5" hidden="1" customHeight="1">
      <c r="B434" s="139" t="s">
        <v>140</v>
      </c>
      <c r="C434" s="85">
        <f t="shared" si="42"/>
        <v>89</v>
      </c>
      <c r="D434" s="91" t="s">
        <v>76</v>
      </c>
      <c r="E434" s="80"/>
      <c r="F434" s="80"/>
      <c r="G434" s="80"/>
      <c r="H434" s="134">
        <f t="shared" si="46"/>
        <v>0</v>
      </c>
      <c r="I434" s="115"/>
      <c r="J434" s="116"/>
      <c r="K434" s="117"/>
      <c r="L434" s="116"/>
      <c r="M434" s="118"/>
      <c r="N434" s="96"/>
      <c r="O434" s="96"/>
      <c r="P434" s="97"/>
      <c r="Q434" s="97"/>
      <c r="R434" s="12"/>
      <c r="S434" s="12"/>
      <c r="T434" s="13"/>
      <c r="U434" s="88"/>
      <c r="V434" s="26"/>
    </row>
    <row r="435" spans="2:22" s="7" customFormat="1" ht="49.5" hidden="1" customHeight="1">
      <c r="B435" s="139" t="s">
        <v>140</v>
      </c>
      <c r="C435" s="85">
        <f t="shared" si="42"/>
        <v>90</v>
      </c>
      <c r="D435" s="91" t="s">
        <v>76</v>
      </c>
      <c r="E435" s="80"/>
      <c r="F435" s="80"/>
      <c r="G435" s="80"/>
      <c r="H435" s="134">
        <f t="shared" si="46"/>
        <v>0</v>
      </c>
      <c r="I435" s="115"/>
      <c r="J435" s="116"/>
      <c r="K435" s="117"/>
      <c r="L435" s="116"/>
      <c r="M435" s="118"/>
      <c r="N435" s="96"/>
      <c r="O435" s="96"/>
      <c r="P435" s="97"/>
      <c r="Q435" s="97"/>
      <c r="R435" s="12"/>
      <c r="S435" s="12"/>
      <c r="T435" s="13"/>
      <c r="U435" s="88"/>
      <c r="V435" s="26"/>
    </row>
    <row r="436" spans="2:22" s="7" customFormat="1" ht="49.5" hidden="1" customHeight="1">
      <c r="B436" s="139" t="s">
        <v>140</v>
      </c>
      <c r="C436" s="85">
        <f t="shared" si="42"/>
        <v>91</v>
      </c>
      <c r="D436" s="91" t="s">
        <v>76</v>
      </c>
      <c r="E436" s="80"/>
      <c r="F436" s="80"/>
      <c r="G436" s="80"/>
      <c r="H436" s="134">
        <f t="shared" si="46"/>
        <v>0</v>
      </c>
      <c r="I436" s="115"/>
      <c r="J436" s="116"/>
      <c r="K436" s="117"/>
      <c r="L436" s="116"/>
      <c r="M436" s="118"/>
      <c r="N436" s="96"/>
      <c r="O436" s="96"/>
      <c r="P436" s="97"/>
      <c r="Q436" s="97"/>
      <c r="R436" s="12"/>
      <c r="S436" s="12"/>
      <c r="T436" s="13"/>
      <c r="V436" s="26"/>
    </row>
    <row r="437" spans="2:22" s="7" customFormat="1" ht="49.5" hidden="1" customHeight="1">
      <c r="B437" s="139" t="s">
        <v>140</v>
      </c>
      <c r="C437" s="85">
        <f t="shared" si="42"/>
        <v>92</v>
      </c>
      <c r="D437" s="91" t="s">
        <v>76</v>
      </c>
      <c r="E437" s="80"/>
      <c r="F437" s="80"/>
      <c r="G437" s="80"/>
      <c r="H437" s="134">
        <f t="shared" si="43"/>
        <v>0</v>
      </c>
      <c r="I437" s="115"/>
      <c r="J437" s="116"/>
      <c r="K437" s="117"/>
      <c r="L437" s="116"/>
      <c r="M437" s="118"/>
      <c r="N437" s="96"/>
      <c r="O437" s="96"/>
      <c r="P437" s="97"/>
      <c r="Q437" s="97"/>
      <c r="R437" s="10"/>
      <c r="S437" s="10"/>
      <c r="T437" s="11"/>
      <c r="V437" s="26"/>
    </row>
    <row r="438" spans="2:22" s="7" customFormat="1" ht="49.5" hidden="1" customHeight="1">
      <c r="B438" s="139" t="s">
        <v>140</v>
      </c>
      <c r="C438" s="85">
        <f t="shared" si="42"/>
        <v>93</v>
      </c>
      <c r="D438" s="91" t="s">
        <v>76</v>
      </c>
      <c r="E438" s="80"/>
      <c r="F438" s="80"/>
      <c r="G438" s="80"/>
      <c r="H438" s="134">
        <f t="shared" si="43"/>
        <v>0</v>
      </c>
      <c r="I438" s="115"/>
      <c r="J438" s="116"/>
      <c r="K438" s="117"/>
      <c r="L438" s="116"/>
      <c r="M438" s="118"/>
      <c r="N438" s="96"/>
      <c r="O438" s="96"/>
      <c r="P438" s="97"/>
      <c r="Q438" s="97"/>
      <c r="R438" s="12"/>
      <c r="S438" s="12"/>
      <c r="T438" s="13"/>
      <c r="V438" s="26"/>
    </row>
    <row r="439" spans="2:22" s="7" customFormat="1" ht="49.5" hidden="1" customHeight="1">
      <c r="B439" s="139" t="s">
        <v>140</v>
      </c>
      <c r="C439" s="85">
        <f t="shared" si="42"/>
        <v>94</v>
      </c>
      <c r="D439" s="91" t="s">
        <v>76</v>
      </c>
      <c r="E439" s="80"/>
      <c r="F439" s="80"/>
      <c r="G439" s="80"/>
      <c r="H439" s="134">
        <f t="shared" si="43"/>
        <v>0</v>
      </c>
      <c r="I439" s="115"/>
      <c r="J439" s="116"/>
      <c r="K439" s="117"/>
      <c r="L439" s="116"/>
      <c r="M439" s="118"/>
      <c r="N439" s="96"/>
      <c r="O439" s="96"/>
      <c r="P439" s="97"/>
      <c r="Q439" s="97"/>
      <c r="R439" s="12"/>
      <c r="S439" s="12"/>
      <c r="T439" s="13"/>
      <c r="V439" s="26"/>
    </row>
    <row r="440" spans="2:22" s="7" customFormat="1" ht="49.5" hidden="1" customHeight="1">
      <c r="B440" s="139" t="s">
        <v>140</v>
      </c>
      <c r="C440" s="85">
        <f t="shared" si="42"/>
        <v>95</v>
      </c>
      <c r="D440" s="91" t="s">
        <v>76</v>
      </c>
      <c r="E440" s="80"/>
      <c r="F440" s="80"/>
      <c r="G440" s="80"/>
      <c r="H440" s="134">
        <f t="shared" si="43"/>
        <v>0</v>
      </c>
      <c r="I440" s="115"/>
      <c r="J440" s="116"/>
      <c r="K440" s="117"/>
      <c r="L440" s="116"/>
      <c r="M440" s="118"/>
      <c r="N440" s="96"/>
      <c r="O440" s="96"/>
      <c r="P440" s="97"/>
      <c r="Q440" s="97"/>
      <c r="R440" s="12"/>
      <c r="S440" s="12"/>
      <c r="T440" s="13"/>
      <c r="V440" s="26"/>
    </row>
    <row r="441" spans="2:22" s="7" customFormat="1" ht="49.5" hidden="1" customHeight="1">
      <c r="B441" s="139" t="s">
        <v>140</v>
      </c>
      <c r="C441" s="85">
        <f t="shared" si="42"/>
        <v>96</v>
      </c>
      <c r="D441" s="91" t="s">
        <v>76</v>
      </c>
      <c r="E441" s="80"/>
      <c r="F441" s="80"/>
      <c r="G441" s="80"/>
      <c r="H441" s="134">
        <f t="shared" si="43"/>
        <v>0</v>
      </c>
      <c r="I441" s="115"/>
      <c r="J441" s="116"/>
      <c r="K441" s="117"/>
      <c r="L441" s="116"/>
      <c r="M441" s="118"/>
      <c r="N441" s="96"/>
      <c r="O441" s="96"/>
      <c r="P441" s="97"/>
      <c r="Q441" s="97"/>
      <c r="R441" s="12"/>
      <c r="S441" s="12"/>
      <c r="T441" s="13"/>
      <c r="V441" s="26"/>
    </row>
    <row r="442" spans="2:22" s="7" customFormat="1" ht="49.5" hidden="1" customHeight="1">
      <c r="B442" s="139" t="s">
        <v>140</v>
      </c>
      <c r="C442" s="85">
        <f t="shared" si="42"/>
        <v>97</v>
      </c>
      <c r="D442" s="91" t="s">
        <v>76</v>
      </c>
      <c r="E442" s="80"/>
      <c r="F442" s="80"/>
      <c r="G442" s="80"/>
      <c r="H442" s="134">
        <f t="shared" si="43"/>
        <v>0</v>
      </c>
      <c r="I442" s="115"/>
      <c r="J442" s="116"/>
      <c r="K442" s="117"/>
      <c r="L442" s="116"/>
      <c r="M442" s="118"/>
      <c r="N442" s="96"/>
      <c r="O442" s="96"/>
      <c r="P442" s="97"/>
      <c r="Q442" s="97"/>
      <c r="R442" s="12"/>
      <c r="S442" s="12"/>
      <c r="T442" s="13"/>
      <c r="V442" s="26"/>
    </row>
    <row r="443" spans="2:22" s="7" customFormat="1" ht="49.5" hidden="1" customHeight="1">
      <c r="B443" s="139" t="s">
        <v>140</v>
      </c>
      <c r="C443" s="85">
        <f t="shared" si="42"/>
        <v>98</v>
      </c>
      <c r="D443" s="91" t="s">
        <v>76</v>
      </c>
      <c r="E443" s="80"/>
      <c r="F443" s="80"/>
      <c r="G443" s="80"/>
      <c r="H443" s="134">
        <f t="shared" si="43"/>
        <v>0</v>
      </c>
      <c r="I443" s="115"/>
      <c r="J443" s="116"/>
      <c r="K443" s="117"/>
      <c r="L443" s="116"/>
      <c r="M443" s="118"/>
      <c r="N443" s="96"/>
      <c r="O443" s="96"/>
      <c r="P443" s="97"/>
      <c r="Q443" s="97"/>
      <c r="R443" s="12"/>
      <c r="S443" s="12"/>
      <c r="T443" s="13"/>
      <c r="V443" s="26"/>
    </row>
    <row r="444" spans="2:22" s="7" customFormat="1" ht="49.5" hidden="1" customHeight="1">
      <c r="B444" s="139" t="s">
        <v>140</v>
      </c>
      <c r="C444" s="85">
        <f t="shared" si="42"/>
        <v>99</v>
      </c>
      <c r="D444" s="91" t="s">
        <v>76</v>
      </c>
      <c r="E444" s="80"/>
      <c r="F444" s="80"/>
      <c r="G444" s="80"/>
      <c r="H444" s="134">
        <f t="shared" si="43"/>
        <v>0</v>
      </c>
      <c r="I444" s="115"/>
      <c r="J444" s="116"/>
      <c r="K444" s="117"/>
      <c r="L444" s="116"/>
      <c r="M444" s="118"/>
      <c r="N444" s="96"/>
      <c r="O444" s="96"/>
      <c r="P444" s="97"/>
      <c r="Q444" s="97"/>
      <c r="R444" s="10"/>
      <c r="S444" s="10"/>
      <c r="T444" s="11"/>
      <c r="V444" s="26"/>
    </row>
    <row r="445" spans="2:22" s="7" customFormat="1" ht="49.5" hidden="1" customHeight="1" thickBot="1">
      <c r="B445" s="140" t="s">
        <v>140</v>
      </c>
      <c r="C445" s="83">
        <f t="shared" si="42"/>
        <v>100</v>
      </c>
      <c r="D445" s="29" t="s">
        <v>76</v>
      </c>
      <c r="E445" s="82"/>
      <c r="F445" s="82"/>
      <c r="G445" s="82"/>
      <c r="H445" s="25">
        <f t="shared" si="43"/>
        <v>0</v>
      </c>
      <c r="I445" s="119"/>
      <c r="J445" s="120"/>
      <c r="K445" s="121"/>
      <c r="L445" s="120"/>
      <c r="M445" s="122"/>
      <c r="N445" s="98"/>
      <c r="O445" s="98"/>
      <c r="P445" s="99"/>
      <c r="Q445" s="99"/>
      <c r="R445" s="12"/>
      <c r="S445" s="12"/>
      <c r="T445" s="13"/>
      <c r="V445" s="26"/>
    </row>
    <row r="446" spans="2:22" s="7" customFormat="1" ht="49.5" customHeight="1" thickTop="1" thickBot="1">
      <c r="B446" s="141" t="s">
        <v>68</v>
      </c>
      <c r="C446" s="17"/>
      <c r="D446" s="92"/>
      <c r="E446" s="137"/>
      <c r="F446" s="137"/>
      <c r="G446" s="137"/>
      <c r="H446" s="18">
        <f>SUM(H346:H445)</f>
        <v>0</v>
      </c>
      <c r="I446" s="123"/>
      <c r="J446" s="124"/>
      <c r="K446" s="124"/>
      <c r="L446" s="124"/>
      <c r="M446" s="124"/>
      <c r="N446" s="100"/>
      <c r="O446" s="100"/>
      <c r="P446" s="101"/>
      <c r="Q446" s="101"/>
      <c r="R446" s="8"/>
      <c r="S446" s="8"/>
      <c r="T446" s="9"/>
    </row>
    <row r="447" spans="2:22" s="7" customFormat="1" ht="49.5" customHeight="1" thickTop="1">
      <c r="B447" s="142" t="s">
        <v>104</v>
      </c>
      <c r="C447" s="84">
        <v>1</v>
      </c>
      <c r="D447" s="28" t="s">
        <v>65</v>
      </c>
      <c r="E447" s="79"/>
      <c r="F447" s="79"/>
      <c r="G447" s="79"/>
      <c r="H447" s="136">
        <f t="shared" ref="H447:H476" si="47">IF(L447&lt;=0,I447*J447,I447*J447*L447)</f>
        <v>0</v>
      </c>
      <c r="I447" s="110"/>
      <c r="J447" s="111"/>
      <c r="K447" s="112"/>
      <c r="L447" s="113"/>
      <c r="M447" s="114"/>
      <c r="N447" s="94"/>
      <c r="O447" s="94"/>
      <c r="P447" s="95"/>
      <c r="Q447" s="95"/>
      <c r="R447" s="8"/>
      <c r="S447" s="8"/>
      <c r="T447" s="9"/>
      <c r="V447" s="26"/>
    </row>
    <row r="448" spans="2:22" s="7" customFormat="1" ht="49.5" customHeight="1">
      <c r="B448" s="139" t="s">
        <v>104</v>
      </c>
      <c r="C448" s="85">
        <f>C447+1</f>
        <v>2</v>
      </c>
      <c r="D448" s="91" t="s">
        <v>65</v>
      </c>
      <c r="E448" s="80"/>
      <c r="F448" s="80"/>
      <c r="G448" s="80"/>
      <c r="H448" s="134">
        <f t="shared" ref="H448:H452" si="48">IF(L448&lt;=0,I448*J448,I448*J448*L448)</f>
        <v>0</v>
      </c>
      <c r="I448" s="115"/>
      <c r="J448" s="116"/>
      <c r="K448" s="117"/>
      <c r="L448" s="116"/>
      <c r="M448" s="118"/>
      <c r="N448" s="96"/>
      <c r="O448" s="96"/>
      <c r="P448" s="97"/>
      <c r="Q448" s="97"/>
      <c r="R448" s="10"/>
      <c r="S448" s="10"/>
      <c r="T448" s="11"/>
      <c r="V448" s="26"/>
    </row>
    <row r="449" spans="2:22" s="7" customFormat="1" ht="49.5" customHeight="1">
      <c r="B449" s="139" t="s">
        <v>104</v>
      </c>
      <c r="C449" s="85">
        <f t="shared" ref="C449:C476" si="49">C448+1</f>
        <v>3</v>
      </c>
      <c r="D449" s="91" t="s">
        <v>65</v>
      </c>
      <c r="E449" s="80"/>
      <c r="F449" s="80"/>
      <c r="G449" s="80"/>
      <c r="H449" s="134">
        <f t="shared" si="48"/>
        <v>0</v>
      </c>
      <c r="I449" s="115"/>
      <c r="J449" s="116"/>
      <c r="K449" s="117"/>
      <c r="L449" s="116"/>
      <c r="M449" s="118"/>
      <c r="N449" s="96"/>
      <c r="O449" s="96"/>
      <c r="P449" s="97"/>
      <c r="Q449" s="97"/>
      <c r="R449" s="12"/>
      <c r="S449" s="12"/>
      <c r="T449" s="13"/>
      <c r="V449" s="26"/>
    </row>
    <row r="450" spans="2:22" s="7" customFormat="1" ht="49.5" customHeight="1">
      <c r="B450" s="139" t="s">
        <v>104</v>
      </c>
      <c r="C450" s="85">
        <f t="shared" si="49"/>
        <v>4</v>
      </c>
      <c r="D450" s="91" t="s">
        <v>65</v>
      </c>
      <c r="E450" s="80"/>
      <c r="F450" s="80"/>
      <c r="G450" s="80"/>
      <c r="H450" s="134">
        <f t="shared" si="48"/>
        <v>0</v>
      </c>
      <c r="I450" s="115"/>
      <c r="J450" s="116"/>
      <c r="K450" s="117"/>
      <c r="L450" s="116"/>
      <c r="M450" s="118"/>
      <c r="N450" s="96"/>
      <c r="O450" s="96"/>
      <c r="P450" s="97"/>
      <c r="Q450" s="97"/>
      <c r="R450" s="12"/>
      <c r="S450" s="12"/>
      <c r="T450" s="13"/>
      <c r="V450" s="26"/>
    </row>
    <row r="451" spans="2:22" s="7" customFormat="1" ht="49.5" customHeight="1">
      <c r="B451" s="139" t="s">
        <v>104</v>
      </c>
      <c r="C451" s="85">
        <f t="shared" si="49"/>
        <v>5</v>
      </c>
      <c r="D451" s="91" t="s">
        <v>65</v>
      </c>
      <c r="E451" s="80"/>
      <c r="F451" s="80"/>
      <c r="G451" s="80"/>
      <c r="H451" s="134">
        <f t="shared" si="48"/>
        <v>0</v>
      </c>
      <c r="I451" s="115"/>
      <c r="J451" s="116"/>
      <c r="K451" s="117"/>
      <c r="L451" s="116"/>
      <c r="M451" s="118"/>
      <c r="N451" s="96"/>
      <c r="O451" s="96"/>
      <c r="P451" s="97"/>
      <c r="Q451" s="97"/>
      <c r="R451" s="12"/>
      <c r="S451" s="12"/>
      <c r="T451" s="13"/>
      <c r="V451" s="26"/>
    </row>
    <row r="452" spans="2:22" s="7" customFormat="1" ht="49.5" customHeight="1">
      <c r="B452" s="139" t="s">
        <v>104</v>
      </c>
      <c r="C452" s="85">
        <f t="shared" si="49"/>
        <v>6</v>
      </c>
      <c r="D452" s="91" t="s">
        <v>65</v>
      </c>
      <c r="E452" s="80"/>
      <c r="F452" s="80"/>
      <c r="G452" s="80"/>
      <c r="H452" s="134">
        <f t="shared" si="48"/>
        <v>0</v>
      </c>
      <c r="I452" s="115"/>
      <c r="J452" s="116"/>
      <c r="K452" s="117"/>
      <c r="L452" s="116"/>
      <c r="M452" s="118"/>
      <c r="N452" s="96"/>
      <c r="O452" s="96"/>
      <c r="P452" s="97"/>
      <c r="Q452" s="97"/>
      <c r="R452" s="12"/>
      <c r="S452" s="12"/>
      <c r="T452" s="13"/>
      <c r="V452" s="26"/>
    </row>
    <row r="453" spans="2:22" s="7" customFormat="1" ht="49.5" customHeight="1">
      <c r="B453" s="139" t="s">
        <v>104</v>
      </c>
      <c r="C453" s="85">
        <f t="shared" si="49"/>
        <v>7</v>
      </c>
      <c r="D453" s="91" t="s">
        <v>65</v>
      </c>
      <c r="E453" s="80"/>
      <c r="F453" s="80"/>
      <c r="G453" s="80"/>
      <c r="H453" s="134">
        <f t="shared" si="47"/>
        <v>0</v>
      </c>
      <c r="I453" s="115"/>
      <c r="J453" s="116"/>
      <c r="K453" s="117"/>
      <c r="L453" s="116"/>
      <c r="M453" s="118"/>
      <c r="N453" s="96"/>
      <c r="O453" s="96"/>
      <c r="P453" s="97"/>
      <c r="Q453" s="97"/>
      <c r="R453" s="10"/>
      <c r="S453" s="10"/>
      <c r="T453" s="11"/>
      <c r="V453" s="26"/>
    </row>
    <row r="454" spans="2:22" s="7" customFormat="1" ht="49.5" customHeight="1">
      <c r="B454" s="139" t="s">
        <v>104</v>
      </c>
      <c r="C454" s="85">
        <f t="shared" si="49"/>
        <v>8</v>
      </c>
      <c r="D454" s="91" t="s">
        <v>65</v>
      </c>
      <c r="E454" s="80"/>
      <c r="F454" s="80"/>
      <c r="G454" s="80"/>
      <c r="H454" s="134">
        <f t="shared" si="47"/>
        <v>0</v>
      </c>
      <c r="I454" s="115"/>
      <c r="J454" s="116"/>
      <c r="K454" s="117"/>
      <c r="L454" s="116"/>
      <c r="M454" s="118"/>
      <c r="N454" s="96"/>
      <c r="O454" s="96"/>
      <c r="P454" s="97"/>
      <c r="Q454" s="97"/>
      <c r="R454" s="12"/>
      <c r="S454" s="12"/>
      <c r="T454" s="13"/>
      <c r="V454" s="26"/>
    </row>
    <row r="455" spans="2:22" s="7" customFormat="1" ht="49.5" customHeight="1">
      <c r="B455" s="139" t="s">
        <v>104</v>
      </c>
      <c r="C455" s="85">
        <f t="shared" si="49"/>
        <v>9</v>
      </c>
      <c r="D455" s="91" t="s">
        <v>65</v>
      </c>
      <c r="E455" s="80"/>
      <c r="F455" s="80"/>
      <c r="G455" s="80"/>
      <c r="H455" s="134">
        <f t="shared" si="47"/>
        <v>0</v>
      </c>
      <c r="I455" s="115"/>
      <c r="J455" s="116"/>
      <c r="K455" s="117"/>
      <c r="L455" s="116"/>
      <c r="M455" s="118"/>
      <c r="N455" s="96"/>
      <c r="O455" s="96"/>
      <c r="P455" s="97"/>
      <c r="Q455" s="97"/>
      <c r="R455" s="12"/>
      <c r="S455" s="12"/>
      <c r="T455" s="13"/>
      <c r="V455" s="26"/>
    </row>
    <row r="456" spans="2:22" s="7" customFormat="1" ht="49.5" customHeight="1">
      <c r="B456" s="139" t="s">
        <v>104</v>
      </c>
      <c r="C456" s="85">
        <f t="shared" si="49"/>
        <v>10</v>
      </c>
      <c r="D456" s="91" t="s">
        <v>65</v>
      </c>
      <c r="E456" s="80"/>
      <c r="F456" s="80"/>
      <c r="G456" s="80"/>
      <c r="H456" s="134">
        <f t="shared" si="47"/>
        <v>0</v>
      </c>
      <c r="I456" s="115"/>
      <c r="J456" s="116"/>
      <c r="K456" s="117"/>
      <c r="L456" s="116"/>
      <c r="M456" s="118"/>
      <c r="N456" s="96"/>
      <c r="O456" s="96"/>
      <c r="P456" s="97"/>
      <c r="Q456" s="97"/>
      <c r="R456" s="12"/>
      <c r="S456" s="12"/>
      <c r="T456" s="13"/>
      <c r="V456" s="26"/>
    </row>
    <row r="457" spans="2:22" s="7" customFormat="1" ht="49.5" customHeight="1">
      <c r="B457" s="139" t="s">
        <v>104</v>
      </c>
      <c r="C457" s="85">
        <f t="shared" si="49"/>
        <v>11</v>
      </c>
      <c r="D457" s="91" t="s">
        <v>65</v>
      </c>
      <c r="E457" s="80"/>
      <c r="F457" s="80"/>
      <c r="G457" s="80"/>
      <c r="H457" s="134">
        <f t="shared" si="47"/>
        <v>0</v>
      </c>
      <c r="I457" s="115"/>
      <c r="J457" s="116"/>
      <c r="K457" s="117"/>
      <c r="L457" s="116"/>
      <c r="M457" s="118"/>
      <c r="N457" s="96"/>
      <c r="O457" s="96"/>
      <c r="P457" s="97"/>
      <c r="Q457" s="97"/>
      <c r="R457" s="12"/>
      <c r="S457" s="12"/>
      <c r="T457" s="13"/>
      <c r="V457" s="26"/>
    </row>
    <row r="458" spans="2:22" s="7" customFormat="1" ht="49.5" customHeight="1">
      <c r="B458" s="139" t="s">
        <v>104</v>
      </c>
      <c r="C458" s="85">
        <f t="shared" si="49"/>
        <v>12</v>
      </c>
      <c r="D458" s="91" t="s">
        <v>65</v>
      </c>
      <c r="E458" s="80"/>
      <c r="F458" s="80"/>
      <c r="G458" s="80"/>
      <c r="H458" s="134">
        <f t="shared" ref="H458:H462" si="50">IF(L458&lt;=0,I458*J458,I458*J458*L458)</f>
        <v>0</v>
      </c>
      <c r="I458" s="115"/>
      <c r="J458" s="116"/>
      <c r="K458" s="117"/>
      <c r="L458" s="116"/>
      <c r="M458" s="118"/>
      <c r="N458" s="96"/>
      <c r="O458" s="96"/>
      <c r="P458" s="97"/>
      <c r="Q458" s="97"/>
      <c r="R458" s="10"/>
      <c r="S458" s="10"/>
      <c r="T458" s="11"/>
      <c r="V458" s="26"/>
    </row>
    <row r="459" spans="2:22" s="7" customFormat="1" ht="49.5" customHeight="1">
      <c r="B459" s="139" t="s">
        <v>104</v>
      </c>
      <c r="C459" s="85">
        <f t="shared" si="49"/>
        <v>13</v>
      </c>
      <c r="D459" s="91" t="s">
        <v>65</v>
      </c>
      <c r="E459" s="80"/>
      <c r="F459" s="80"/>
      <c r="G459" s="80"/>
      <c r="H459" s="134">
        <f t="shared" si="50"/>
        <v>0</v>
      </c>
      <c r="I459" s="115"/>
      <c r="J459" s="116"/>
      <c r="K459" s="117"/>
      <c r="L459" s="116"/>
      <c r="M459" s="118"/>
      <c r="N459" s="96"/>
      <c r="O459" s="96"/>
      <c r="P459" s="97"/>
      <c r="Q459" s="97"/>
      <c r="R459" s="12"/>
      <c r="S459" s="12"/>
      <c r="T459" s="13"/>
      <c r="V459" s="26"/>
    </row>
    <row r="460" spans="2:22" s="7" customFormat="1" ht="49.5" customHeight="1">
      <c r="B460" s="139" t="s">
        <v>104</v>
      </c>
      <c r="C460" s="85">
        <f t="shared" si="49"/>
        <v>14</v>
      </c>
      <c r="D460" s="91" t="s">
        <v>65</v>
      </c>
      <c r="E460" s="80"/>
      <c r="F460" s="80"/>
      <c r="G460" s="80"/>
      <c r="H460" s="134">
        <f t="shared" si="50"/>
        <v>0</v>
      </c>
      <c r="I460" s="115"/>
      <c r="J460" s="116"/>
      <c r="K460" s="117"/>
      <c r="L460" s="116"/>
      <c r="M460" s="118"/>
      <c r="N460" s="96"/>
      <c r="O460" s="96"/>
      <c r="P460" s="97"/>
      <c r="Q460" s="97"/>
      <c r="R460" s="12"/>
      <c r="S460" s="12"/>
      <c r="T460" s="13"/>
      <c r="V460" s="26"/>
    </row>
    <row r="461" spans="2:22" s="7" customFormat="1" ht="49.5" customHeight="1">
      <c r="B461" s="139" t="s">
        <v>104</v>
      </c>
      <c r="C461" s="85">
        <f t="shared" si="49"/>
        <v>15</v>
      </c>
      <c r="D461" s="91" t="s">
        <v>65</v>
      </c>
      <c r="E461" s="80"/>
      <c r="F461" s="80"/>
      <c r="G461" s="80"/>
      <c r="H461" s="134">
        <f t="shared" si="50"/>
        <v>0</v>
      </c>
      <c r="I461" s="115"/>
      <c r="J461" s="116"/>
      <c r="K461" s="117"/>
      <c r="L461" s="116"/>
      <c r="M461" s="118"/>
      <c r="N461" s="96"/>
      <c r="O461" s="96"/>
      <c r="P461" s="97"/>
      <c r="Q461" s="97"/>
      <c r="R461" s="12"/>
      <c r="S461" s="12"/>
      <c r="T461" s="13"/>
      <c r="V461" s="26"/>
    </row>
    <row r="462" spans="2:22" s="7" customFormat="1" ht="49.5" customHeight="1">
      <c r="B462" s="139" t="s">
        <v>104</v>
      </c>
      <c r="C462" s="85">
        <f t="shared" si="49"/>
        <v>16</v>
      </c>
      <c r="D462" s="91" t="s">
        <v>65</v>
      </c>
      <c r="E462" s="80"/>
      <c r="F462" s="80"/>
      <c r="G462" s="80"/>
      <c r="H462" s="134">
        <f t="shared" si="50"/>
        <v>0</v>
      </c>
      <c r="I462" s="115"/>
      <c r="J462" s="116"/>
      <c r="K462" s="117"/>
      <c r="L462" s="116"/>
      <c r="M462" s="118"/>
      <c r="N462" s="96"/>
      <c r="O462" s="96"/>
      <c r="P462" s="97"/>
      <c r="Q462" s="97"/>
      <c r="R462" s="12"/>
      <c r="S462" s="12"/>
      <c r="T462" s="13"/>
      <c r="V462" s="26"/>
    </row>
    <row r="463" spans="2:22" s="7" customFormat="1" ht="49.5" customHeight="1">
      <c r="B463" s="139" t="s">
        <v>104</v>
      </c>
      <c r="C463" s="85">
        <f t="shared" si="49"/>
        <v>17</v>
      </c>
      <c r="D463" s="91" t="s">
        <v>65</v>
      </c>
      <c r="E463" s="80"/>
      <c r="F463" s="80"/>
      <c r="G463" s="80"/>
      <c r="H463" s="134">
        <f t="shared" ref="H463:H467" si="51">IF(L463&lt;=0,I463*J463,I463*J463*L463)</f>
        <v>0</v>
      </c>
      <c r="I463" s="115"/>
      <c r="J463" s="116"/>
      <c r="K463" s="117"/>
      <c r="L463" s="116"/>
      <c r="M463" s="118"/>
      <c r="N463" s="96"/>
      <c r="O463" s="96"/>
      <c r="P463" s="97"/>
      <c r="Q463" s="97"/>
      <c r="R463" s="10"/>
      <c r="S463" s="10"/>
      <c r="T463" s="11"/>
      <c r="V463" s="26"/>
    </row>
    <row r="464" spans="2:22" s="7" customFormat="1" ht="49.5" customHeight="1">
      <c r="B464" s="139" t="s">
        <v>104</v>
      </c>
      <c r="C464" s="85">
        <f t="shared" si="49"/>
        <v>18</v>
      </c>
      <c r="D464" s="91" t="s">
        <v>65</v>
      </c>
      <c r="E464" s="80"/>
      <c r="F464" s="80"/>
      <c r="G464" s="80"/>
      <c r="H464" s="134">
        <f t="shared" si="51"/>
        <v>0</v>
      </c>
      <c r="I464" s="115"/>
      <c r="J464" s="116"/>
      <c r="K464" s="117"/>
      <c r="L464" s="116"/>
      <c r="M464" s="118"/>
      <c r="N464" s="96"/>
      <c r="O464" s="96"/>
      <c r="P464" s="97"/>
      <c r="Q464" s="97"/>
      <c r="R464" s="12"/>
      <c r="S464" s="12"/>
      <c r="T464" s="13"/>
      <c r="V464" s="26"/>
    </row>
    <row r="465" spans="2:22" s="7" customFormat="1" ht="49.5" customHeight="1">
      <c r="B465" s="139" t="s">
        <v>104</v>
      </c>
      <c r="C465" s="85">
        <f t="shared" si="49"/>
        <v>19</v>
      </c>
      <c r="D465" s="91" t="s">
        <v>65</v>
      </c>
      <c r="E465" s="80"/>
      <c r="F465" s="80"/>
      <c r="G465" s="80"/>
      <c r="H465" s="134">
        <f t="shared" si="51"/>
        <v>0</v>
      </c>
      <c r="I465" s="115"/>
      <c r="J465" s="116"/>
      <c r="K465" s="117"/>
      <c r="L465" s="116"/>
      <c r="M465" s="118"/>
      <c r="N465" s="96"/>
      <c r="O465" s="96"/>
      <c r="P465" s="97"/>
      <c r="Q465" s="97"/>
      <c r="R465" s="12"/>
      <c r="S465" s="12"/>
      <c r="T465" s="13"/>
      <c r="V465" s="26"/>
    </row>
    <row r="466" spans="2:22" s="7" customFormat="1" ht="49.5" customHeight="1">
      <c r="B466" s="139" t="s">
        <v>104</v>
      </c>
      <c r="C466" s="85">
        <f t="shared" si="49"/>
        <v>20</v>
      </c>
      <c r="D466" s="91" t="s">
        <v>65</v>
      </c>
      <c r="E466" s="80"/>
      <c r="F466" s="80"/>
      <c r="G466" s="80"/>
      <c r="H466" s="134">
        <f t="shared" si="51"/>
        <v>0</v>
      </c>
      <c r="I466" s="115"/>
      <c r="J466" s="116"/>
      <c r="K466" s="117"/>
      <c r="L466" s="116"/>
      <c r="M466" s="118"/>
      <c r="N466" s="96"/>
      <c r="O466" s="96"/>
      <c r="P466" s="97"/>
      <c r="Q466" s="97"/>
      <c r="R466" s="12"/>
      <c r="S466" s="12"/>
      <c r="T466" s="13"/>
      <c r="V466" s="26"/>
    </row>
    <row r="467" spans="2:22" s="7" customFormat="1" ht="49.5" customHeight="1">
      <c r="B467" s="139" t="s">
        <v>104</v>
      </c>
      <c r="C467" s="85">
        <f t="shared" si="49"/>
        <v>21</v>
      </c>
      <c r="D467" s="91" t="s">
        <v>65</v>
      </c>
      <c r="E467" s="80"/>
      <c r="F467" s="80"/>
      <c r="G467" s="80"/>
      <c r="H467" s="134">
        <f t="shared" si="51"/>
        <v>0</v>
      </c>
      <c r="I467" s="115"/>
      <c r="J467" s="116"/>
      <c r="K467" s="117"/>
      <c r="L467" s="116"/>
      <c r="M467" s="118"/>
      <c r="N467" s="96"/>
      <c r="O467" s="96"/>
      <c r="P467" s="97"/>
      <c r="Q467" s="97"/>
      <c r="R467" s="12"/>
      <c r="S467" s="12"/>
      <c r="T467" s="13"/>
      <c r="V467" s="26"/>
    </row>
    <row r="468" spans="2:22" s="7" customFormat="1" ht="49.5" customHeight="1">
      <c r="B468" s="139" t="s">
        <v>104</v>
      </c>
      <c r="C468" s="85">
        <f t="shared" si="49"/>
        <v>22</v>
      </c>
      <c r="D468" s="91" t="s">
        <v>65</v>
      </c>
      <c r="E468" s="80"/>
      <c r="F468" s="80"/>
      <c r="G468" s="80"/>
      <c r="H468" s="134">
        <f t="shared" si="47"/>
        <v>0</v>
      </c>
      <c r="I468" s="115"/>
      <c r="J468" s="116"/>
      <c r="K468" s="117"/>
      <c r="L468" s="116"/>
      <c r="M468" s="118"/>
      <c r="N468" s="96"/>
      <c r="O468" s="96"/>
      <c r="P468" s="97"/>
      <c r="Q468" s="97"/>
      <c r="R468" s="10"/>
      <c r="S468" s="10"/>
      <c r="T468" s="11"/>
      <c r="V468" s="26"/>
    </row>
    <row r="469" spans="2:22" s="7" customFormat="1" ht="49.5" customHeight="1">
      <c r="B469" s="139" t="s">
        <v>104</v>
      </c>
      <c r="C469" s="85">
        <f t="shared" si="49"/>
        <v>23</v>
      </c>
      <c r="D469" s="91" t="s">
        <v>65</v>
      </c>
      <c r="E469" s="80"/>
      <c r="F469" s="80"/>
      <c r="G469" s="80"/>
      <c r="H469" s="134">
        <f t="shared" si="47"/>
        <v>0</v>
      </c>
      <c r="I469" s="115"/>
      <c r="J469" s="116"/>
      <c r="K469" s="117"/>
      <c r="L469" s="116"/>
      <c r="M469" s="118"/>
      <c r="N469" s="96"/>
      <c r="O469" s="96"/>
      <c r="P469" s="97"/>
      <c r="Q469" s="97"/>
      <c r="R469" s="12"/>
      <c r="S469" s="12"/>
      <c r="T469" s="13"/>
      <c r="V469" s="26"/>
    </row>
    <row r="470" spans="2:22" s="7" customFormat="1" ht="49.5" customHeight="1">
      <c r="B470" s="139" t="s">
        <v>104</v>
      </c>
      <c r="C470" s="85">
        <f t="shared" si="49"/>
        <v>24</v>
      </c>
      <c r="D470" s="91" t="s">
        <v>65</v>
      </c>
      <c r="E470" s="80"/>
      <c r="F470" s="80"/>
      <c r="G470" s="80"/>
      <c r="H470" s="134">
        <f t="shared" si="47"/>
        <v>0</v>
      </c>
      <c r="I470" s="115"/>
      <c r="J470" s="116"/>
      <c r="K470" s="117"/>
      <c r="L470" s="116"/>
      <c r="M470" s="118"/>
      <c r="N470" s="96"/>
      <c r="O470" s="96"/>
      <c r="P470" s="97"/>
      <c r="Q470" s="97"/>
      <c r="R470" s="12"/>
      <c r="S470" s="12"/>
      <c r="T470" s="13"/>
      <c r="V470" s="26"/>
    </row>
    <row r="471" spans="2:22" s="7" customFormat="1" ht="49.5" customHeight="1">
      <c r="B471" s="139" t="s">
        <v>104</v>
      </c>
      <c r="C471" s="85">
        <f t="shared" si="49"/>
        <v>25</v>
      </c>
      <c r="D471" s="91" t="s">
        <v>65</v>
      </c>
      <c r="E471" s="80"/>
      <c r="F471" s="80"/>
      <c r="G471" s="80"/>
      <c r="H471" s="134">
        <f t="shared" si="47"/>
        <v>0</v>
      </c>
      <c r="I471" s="115"/>
      <c r="J471" s="116"/>
      <c r="K471" s="117"/>
      <c r="L471" s="116"/>
      <c r="M471" s="118"/>
      <c r="N471" s="96"/>
      <c r="O471" s="96"/>
      <c r="P471" s="97"/>
      <c r="Q471" s="97"/>
      <c r="R471" s="12"/>
      <c r="S471" s="12"/>
      <c r="T471" s="13"/>
      <c r="V471" s="26"/>
    </row>
    <row r="472" spans="2:22" s="7" customFormat="1" ht="49.5" customHeight="1">
      <c r="B472" s="139" t="s">
        <v>104</v>
      </c>
      <c r="C472" s="85">
        <f t="shared" si="49"/>
        <v>26</v>
      </c>
      <c r="D472" s="91" t="s">
        <v>65</v>
      </c>
      <c r="E472" s="80"/>
      <c r="F472" s="80"/>
      <c r="G472" s="80"/>
      <c r="H472" s="134">
        <f t="shared" si="47"/>
        <v>0</v>
      </c>
      <c r="I472" s="115"/>
      <c r="J472" s="116"/>
      <c r="K472" s="117"/>
      <c r="L472" s="116"/>
      <c r="M472" s="118"/>
      <c r="N472" s="96"/>
      <c r="O472" s="96"/>
      <c r="P472" s="97"/>
      <c r="Q472" s="97"/>
      <c r="R472" s="12"/>
      <c r="S472" s="12"/>
      <c r="T472" s="13"/>
      <c r="V472" s="26"/>
    </row>
    <row r="473" spans="2:22" s="7" customFormat="1" ht="49.5" customHeight="1">
      <c r="B473" s="139" t="s">
        <v>104</v>
      </c>
      <c r="C473" s="85">
        <f t="shared" si="49"/>
        <v>27</v>
      </c>
      <c r="D473" s="91" t="s">
        <v>65</v>
      </c>
      <c r="E473" s="80"/>
      <c r="F473" s="80"/>
      <c r="G473" s="80"/>
      <c r="H473" s="134">
        <f t="shared" si="47"/>
        <v>0</v>
      </c>
      <c r="I473" s="115"/>
      <c r="J473" s="116"/>
      <c r="K473" s="117"/>
      <c r="L473" s="116"/>
      <c r="M473" s="118"/>
      <c r="N473" s="96"/>
      <c r="O473" s="96"/>
      <c r="P473" s="97"/>
      <c r="Q473" s="97"/>
      <c r="R473" s="12"/>
      <c r="S473" s="12"/>
      <c r="T473" s="13"/>
      <c r="V473" s="26"/>
    </row>
    <row r="474" spans="2:22" s="7" customFormat="1" ht="49.5" customHeight="1">
      <c r="B474" s="139" t="s">
        <v>104</v>
      </c>
      <c r="C474" s="85">
        <f t="shared" si="49"/>
        <v>28</v>
      </c>
      <c r="D474" s="91" t="s">
        <v>65</v>
      </c>
      <c r="E474" s="80"/>
      <c r="F474" s="80"/>
      <c r="G474" s="80"/>
      <c r="H474" s="134">
        <f t="shared" si="47"/>
        <v>0</v>
      </c>
      <c r="I474" s="115"/>
      <c r="J474" s="116"/>
      <c r="K474" s="117"/>
      <c r="L474" s="116"/>
      <c r="M474" s="118"/>
      <c r="N474" s="96"/>
      <c r="O474" s="96"/>
      <c r="P474" s="97"/>
      <c r="Q474" s="97"/>
      <c r="R474" s="12"/>
      <c r="S474" s="12"/>
      <c r="T474" s="13"/>
      <c r="V474" s="26"/>
    </row>
    <row r="475" spans="2:22" s="7" customFormat="1" ht="49.5" customHeight="1">
      <c r="B475" s="139" t="s">
        <v>104</v>
      </c>
      <c r="C475" s="85">
        <f t="shared" si="49"/>
        <v>29</v>
      </c>
      <c r="D475" s="91" t="s">
        <v>65</v>
      </c>
      <c r="E475" s="80"/>
      <c r="F475" s="80"/>
      <c r="G475" s="80"/>
      <c r="H475" s="134">
        <f t="shared" si="47"/>
        <v>0</v>
      </c>
      <c r="I475" s="115"/>
      <c r="J475" s="116"/>
      <c r="K475" s="117"/>
      <c r="L475" s="116"/>
      <c r="M475" s="118"/>
      <c r="N475" s="96"/>
      <c r="O475" s="96"/>
      <c r="P475" s="97"/>
      <c r="Q475" s="97"/>
      <c r="R475" s="10"/>
      <c r="S475" s="10"/>
      <c r="T475" s="11"/>
      <c r="V475" s="26"/>
    </row>
    <row r="476" spans="2:22" s="7" customFormat="1" ht="49.5" customHeight="1" thickBot="1">
      <c r="B476" s="140" t="s">
        <v>104</v>
      </c>
      <c r="C476" s="83">
        <f t="shared" si="49"/>
        <v>30</v>
      </c>
      <c r="D476" s="29" t="s">
        <v>65</v>
      </c>
      <c r="E476" s="82"/>
      <c r="F476" s="82"/>
      <c r="G476" s="82"/>
      <c r="H476" s="25">
        <f t="shared" si="47"/>
        <v>0</v>
      </c>
      <c r="I476" s="119"/>
      <c r="J476" s="120"/>
      <c r="K476" s="121"/>
      <c r="L476" s="120"/>
      <c r="M476" s="122"/>
      <c r="N476" s="98"/>
      <c r="O476" s="98"/>
      <c r="P476" s="99"/>
      <c r="Q476" s="99"/>
      <c r="R476" s="12"/>
      <c r="S476" s="12"/>
      <c r="T476" s="13"/>
      <c r="V476" s="26"/>
    </row>
    <row r="477" spans="2:22" s="7" customFormat="1" ht="49.5" customHeight="1" thickTop="1" thickBot="1">
      <c r="B477" s="141" t="s">
        <v>68</v>
      </c>
      <c r="C477" s="17"/>
      <c r="D477" s="92"/>
      <c r="E477" s="22"/>
      <c r="F477" s="81"/>
      <c r="G477" s="81"/>
      <c r="H477" s="18">
        <f>SUM(H447:H476)</f>
        <v>0</v>
      </c>
      <c r="I477" s="123"/>
      <c r="J477" s="124"/>
      <c r="K477" s="124"/>
      <c r="L477" s="124"/>
      <c r="M477" s="124"/>
      <c r="N477" s="100"/>
      <c r="O477" s="100"/>
      <c r="P477" s="101"/>
      <c r="Q477" s="101"/>
      <c r="R477" s="8"/>
      <c r="S477" s="8"/>
      <c r="T477" s="9"/>
    </row>
    <row r="478" spans="2:22" ht="49.5" customHeight="1" thickTop="1"/>
  </sheetData>
  <sheetProtection algorithmName="SHA-512" hashValue="ORJ+VyYpWHnzFr0mGKP7bEEtxY6/egwVCil8toeulnA9EU1QMDByxC9Amf1pqsizIWTiL7Q6lbf3aR1hvyxN/w==" saltValue="wjTxN1G/88//SDYRxfDZNA==" spinCount="100000" sheet="1" formatRows="0" autoFilter="0"/>
  <autoFilter ref="A6:AB477" xr:uid="{CAC808B5-399F-4734-9679-5047689125FC}"/>
  <mergeCells count="18">
    <mergeCell ref="N1:P1"/>
    <mergeCell ref="O2:P2"/>
    <mergeCell ref="E5:G5"/>
    <mergeCell ref="P5:P6"/>
    <mergeCell ref="O5:O6"/>
    <mergeCell ref="N5:N6"/>
    <mergeCell ref="M5:M6"/>
    <mergeCell ref="L5:L6"/>
    <mergeCell ref="K5:K6"/>
    <mergeCell ref="J5:J6"/>
    <mergeCell ref="I5:I6"/>
    <mergeCell ref="H5:H6"/>
    <mergeCell ref="B1:G1"/>
    <mergeCell ref="Q5:Q6"/>
    <mergeCell ref="Q4:S4"/>
    <mergeCell ref="B5:B6"/>
    <mergeCell ref="C5:C6"/>
    <mergeCell ref="D5:D6"/>
  </mergeCells>
  <phoneticPr fontId="7"/>
  <conditionalFormatting sqref="E7:G66">
    <cfRule type="containsBlanks" dxfId="55" priority="489">
      <formula>LEN(TRIM(E7))=0</formula>
    </cfRule>
  </conditionalFormatting>
  <conditionalFormatting sqref="E68:G97">
    <cfRule type="containsBlanks" dxfId="54" priority="458">
      <formula>LEN(TRIM(E68))=0</formula>
    </cfRule>
  </conditionalFormatting>
  <conditionalFormatting sqref="E99:G128">
    <cfRule type="containsBlanks" dxfId="53" priority="427">
      <formula>LEN(TRIM(E99))=0</formula>
    </cfRule>
  </conditionalFormatting>
  <conditionalFormatting sqref="E130:G159">
    <cfRule type="containsBlanks" dxfId="52" priority="365">
      <formula>LEN(TRIM(E130))=0</formula>
    </cfRule>
  </conditionalFormatting>
  <conditionalFormatting sqref="E161:G220">
    <cfRule type="containsBlanks" dxfId="51" priority="520">
      <formula>LEN(TRIM(E161))=0</formula>
    </cfRule>
  </conditionalFormatting>
  <conditionalFormatting sqref="E222:G251">
    <cfRule type="containsBlanks" dxfId="50" priority="303">
      <formula>LEN(TRIM(E222))=0</formula>
    </cfRule>
  </conditionalFormatting>
  <conditionalFormatting sqref="E253:G282">
    <cfRule type="containsBlanks" dxfId="49" priority="241">
      <formula>LEN(TRIM(E253))=0</formula>
    </cfRule>
  </conditionalFormatting>
  <conditionalFormatting sqref="E284:G313">
    <cfRule type="containsBlanks" dxfId="48" priority="179">
      <formula>LEN(TRIM(E284))=0</formula>
    </cfRule>
  </conditionalFormatting>
  <conditionalFormatting sqref="E315:G344">
    <cfRule type="containsBlanks" dxfId="47" priority="148">
      <formula>LEN(TRIM(E315))=0</formula>
    </cfRule>
  </conditionalFormatting>
  <conditionalFormatting sqref="E346:G445">
    <cfRule type="containsBlanks" dxfId="46" priority="86">
      <formula>LEN(TRIM(E346))=0</formula>
    </cfRule>
  </conditionalFormatting>
  <conditionalFormatting sqref="E447:G476">
    <cfRule type="containsBlanks" dxfId="45" priority="24">
      <formula>LEN(TRIM(E447))=0</formula>
    </cfRule>
  </conditionalFormatting>
  <conditionalFormatting sqref="I7:Q66">
    <cfRule type="expression" dxfId="42" priority="17">
      <formula>IF(LEN(I7)&lt;1,TRUE,FALSE)</formula>
    </cfRule>
  </conditionalFormatting>
  <conditionalFormatting sqref="I68:Q97">
    <cfRule type="expression" dxfId="41" priority="16">
      <formula>IF(LEN(I68)&lt;1,TRUE,FALSE)</formula>
    </cfRule>
  </conditionalFormatting>
  <conditionalFormatting sqref="I99:Q128">
    <cfRule type="expression" dxfId="40" priority="15">
      <formula>IF(LEN(I99)&lt;1,TRUE,FALSE)</formula>
    </cfRule>
  </conditionalFormatting>
  <conditionalFormatting sqref="I130:Q159">
    <cfRule type="expression" dxfId="39" priority="13">
      <formula>IF(LEN(I130)&lt;1,TRUE,FALSE)</formula>
    </cfRule>
  </conditionalFormatting>
  <conditionalFormatting sqref="I161:Q220">
    <cfRule type="expression" dxfId="38" priority="18">
      <formula>IF(LEN(I161)&lt;1,TRUE,FALSE)</formula>
    </cfRule>
  </conditionalFormatting>
  <conditionalFormatting sqref="I222:Q251">
    <cfRule type="expression" dxfId="37" priority="12">
      <formula>IF(LEN(I222)&lt;1,TRUE,FALSE)</formula>
    </cfRule>
  </conditionalFormatting>
  <conditionalFormatting sqref="I253:Q282">
    <cfRule type="expression" dxfId="36" priority="10">
      <formula>IF(LEN(I253)&lt;1,TRUE,FALSE)</formula>
    </cfRule>
  </conditionalFormatting>
  <conditionalFormatting sqref="I284:Q313">
    <cfRule type="expression" dxfId="35" priority="8">
      <formula>IF(LEN(I284)&lt;1,TRUE,FALSE)</formula>
    </cfRule>
  </conditionalFormatting>
  <conditionalFormatting sqref="I315:Q344">
    <cfRule type="expression" dxfId="34" priority="7">
      <formula>IF(LEN(I315)&lt;1,TRUE,FALSE)</formula>
    </cfRule>
  </conditionalFormatting>
  <conditionalFormatting sqref="I346:Q445">
    <cfRule type="expression" dxfId="33" priority="5">
      <formula>IF(LEN(I346)&lt;1,TRUE,FALSE)</formula>
    </cfRule>
  </conditionalFormatting>
  <conditionalFormatting sqref="I447:Q476">
    <cfRule type="expression" dxfId="32" priority="3">
      <formula>IF(LEN(I447)&lt;1,TRUE,FALSE)</formula>
    </cfRule>
  </conditionalFormatting>
  <conditionalFormatting sqref="O2:Q3">
    <cfRule type="cellIs" dxfId="31" priority="19" operator="equal">
      <formula>0</formula>
    </cfRule>
  </conditionalFormatting>
  <dataValidations xWindow="392" yWindow="685" count="4">
    <dataValidation allowBlank="1" showInputMessage="1" showErrorMessage="1" promptTitle="　　　　　　　　　　　自動で記入" prompt="計算式を設定しています。_x000a_sum" sqref="H98 H221 H67 H345 H160 H283 H129 H252 H446 E477:H477 H314" xr:uid="{670D59B6-3FB1-47CB-9652-DDFFF655DA50}"/>
    <dataValidation allowBlank="1" showInputMessage="1" showErrorMessage="1" promptTitle="　　　　　　　　　　　自動で記入" prompt="計算式を設定しています。_x000a_単価*数量*回数等＝小計" sqref="H448:H476 H223:H251 H162:H220 H316:H344 H100:H128 H285:H313 H69:H97 H131:H159 H8:H66 H254:H282 H347:H445" xr:uid="{39691808-E748-4E16-844A-E2E49546EE1C}"/>
    <dataValidation allowBlank="1" showInputMessage="1" showErrorMessage="1" promptTitle="　　　　　　　　　　自動で記入" prompt="計算式を設定しています。_x000a_単価*数量*回数等＝小計" sqref="H161 H7 H315 H284 H68 H99 H253 H346 H222 H447 H130" xr:uid="{E230389C-EDD7-44B7-B7B5-9019E13C06A5}"/>
    <dataValidation type="list" allowBlank="1" showInputMessage="1" showErrorMessage="1" sqref="E161:G220 E7:G66 E68:G97 E99:G128 E130:G159 E222:G251 E253:G282 E284:G313 E315:G344 E346:G445 E447:G476" xr:uid="{41D4F08C-E17F-4944-96FE-943DEB9098F2}">
      <formula1>"✓"</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135718F9-D004-4B3D-BC19-11D0A398C6B2}">
            <xm:f>'（様式３）支出計画書'!$C$9&lt;&gt;"✓"</xm:f>
            <x14:dxf>
              <fill>
                <patternFill>
                  <bgColor theme="0" tint="-0.14996795556505021"/>
                </patternFill>
              </fill>
            </x14:dxf>
          </x14:cfRule>
          <xm:sqref>E7:E66 E68:E97 E99:E128 E130:E159 E161:E220 E222:E251 E253:E282 E284:E313 E315:E344 E346:E445 E447:E476</xm:sqref>
        </x14:conditionalFormatting>
        <x14:conditionalFormatting xmlns:xm="http://schemas.microsoft.com/office/excel/2006/main">
          <x14:cfRule type="expression" priority="21" id="{0D83ACD1-6C84-4104-A562-70FC910082DB}">
            <xm:f>'（様式３）支出計画書'!$D$9&lt;&gt;"✓"</xm:f>
            <x14:dxf>
              <fill>
                <patternFill>
                  <bgColor theme="0" tint="-0.14996795556505021"/>
                </patternFill>
              </fill>
            </x14:dxf>
          </x14:cfRule>
          <xm:sqref>F7:F66 F68:F97 F99:F128 F130:F159 F161:F220 F222:F251 F253:F282 F284:F313 F315:F344 F346:F445 F447:F476</xm:sqref>
        </x14:conditionalFormatting>
        <x14:conditionalFormatting xmlns:xm="http://schemas.microsoft.com/office/excel/2006/main">
          <x14:cfRule type="expression" priority="20" id="{F6DF71A2-FAB6-43B6-B0AA-EFEC12D34825}">
            <xm:f>'（様式３）支出計画書'!$F$9&lt;&gt;"✓"</xm:f>
            <x14:dxf>
              <fill>
                <patternFill>
                  <bgColor theme="0" tint="-0.14996795556505021"/>
                </patternFill>
              </fill>
            </x14:dxf>
          </x14:cfRule>
          <xm:sqref>G7:G66 G68:G97 G99:G128 G130:G159 G161:G220 G222:G251 G253:G282 G284:G313 G315:G344 G346:G445 G447:G476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6641-2677-4C6B-A012-E926FE7B18B6}">
  <sheetPr codeName="Sheet4"/>
  <dimension ref="A1:A3"/>
  <sheetViews>
    <sheetView workbookViewId="0">
      <selection activeCell="F11" sqref="F11"/>
    </sheetView>
  </sheetViews>
  <sheetFormatPr defaultRowHeight="14.25"/>
  <sheetData>
    <row r="1" spans="1:1">
      <c r="A1" s="1" t="s">
        <v>105</v>
      </c>
    </row>
    <row r="2" spans="1:1">
      <c r="A2" s="1" t="s">
        <v>106</v>
      </c>
    </row>
    <row r="3" spans="1:1">
      <c r="A3" s="1" t="s">
        <v>107</v>
      </c>
    </row>
  </sheetData>
  <phoneticPr fontId="7"/>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D48C-2E6D-4619-84B0-B99B4208E7FB}">
  <sheetPr codeName="Sheet5" filterMode="1"/>
  <dimension ref="B1:AB478"/>
  <sheetViews>
    <sheetView zoomScaleNormal="100" workbookViewId="0">
      <pane xSplit="1" ySplit="6" topLeftCell="B7" activePane="bottomRight" state="frozen"/>
      <selection activeCell="B5" sqref="B5:B6"/>
      <selection pane="topRight" activeCell="B5" sqref="B5:B6"/>
      <selection pane="bottomLeft" activeCell="B5" sqref="B5:B6"/>
      <selection pane="bottomRight" activeCell="B1" sqref="B1:G1"/>
    </sheetView>
  </sheetViews>
  <sheetFormatPr defaultColWidth="9" defaultRowHeight="49.5" customHeight="1"/>
  <cols>
    <col min="1" max="1" width="2.375" style="1" customWidth="1"/>
    <col min="2" max="2" width="25.375" style="14" customWidth="1"/>
    <col min="3" max="3" width="6.625" style="14" customWidth="1"/>
    <col min="4" max="4" width="4.625" style="93" customWidth="1"/>
    <col min="5" max="7" width="4" style="15" customWidth="1"/>
    <col min="8" max="8" width="14.5" style="15" customWidth="1"/>
    <col min="9" max="9" width="11.5" style="4" customWidth="1"/>
    <col min="10" max="10" width="6.5" style="5" customWidth="1"/>
    <col min="11" max="11" width="6.875" style="5" customWidth="1"/>
    <col min="12" max="12" width="6.5" style="5" customWidth="1"/>
    <col min="13" max="13" width="7.125" style="5" customWidth="1"/>
    <col min="14" max="14" width="36.5" style="16" customWidth="1"/>
    <col min="15" max="15" width="30.5" style="16" customWidth="1"/>
    <col min="16" max="17" width="18.375" style="5" customWidth="1"/>
    <col min="18" max="20" width="8.5" style="1" hidden="1" customWidth="1"/>
    <col min="21" max="16384" width="9" style="1"/>
  </cols>
  <sheetData>
    <row r="1" spans="2:28" ht="27" customHeight="1">
      <c r="B1" s="248" t="s">
        <v>143</v>
      </c>
      <c r="C1" s="248"/>
      <c r="D1" s="248"/>
      <c r="E1" s="248"/>
      <c r="F1" s="248"/>
      <c r="G1" s="248"/>
      <c r="N1" s="238" t="s">
        <v>48</v>
      </c>
      <c r="O1" s="238"/>
      <c r="P1" s="238"/>
      <c r="Q1" s="1"/>
      <c r="W1" s="27"/>
      <c r="AB1" s="27"/>
    </row>
    <row r="2" spans="2:28" ht="30" customHeight="1">
      <c r="B2" s="2" t="s">
        <v>47</v>
      </c>
      <c r="C2" s="19"/>
      <c r="D2" s="90"/>
      <c r="E2" s="3"/>
      <c r="F2" s="3"/>
      <c r="G2" s="3"/>
      <c r="H2" s="3"/>
      <c r="N2" s="138" t="s">
        <v>49</v>
      </c>
      <c r="O2" s="239">
        <f>'（様式３）支出計画書'!D5</f>
        <v>0</v>
      </c>
      <c r="P2" s="239"/>
      <c r="Q2" s="1"/>
      <c r="W2" s="27"/>
      <c r="AB2" s="27"/>
    </row>
    <row r="3" spans="2:28" ht="18.75" customHeight="1">
      <c r="B3" s="87" t="s">
        <v>145</v>
      </c>
      <c r="C3" s="19"/>
      <c r="D3" s="90"/>
      <c r="E3" s="3"/>
      <c r="F3" s="3"/>
      <c r="G3" s="3"/>
      <c r="N3" s="20"/>
      <c r="O3" s="30"/>
      <c r="P3" s="30"/>
      <c r="Q3" s="30"/>
      <c r="W3" s="27"/>
      <c r="AB3" s="27"/>
    </row>
    <row r="4" spans="2:28" s="6" customFormat="1" ht="18.75" customHeight="1">
      <c r="B4" s="87" t="s">
        <v>50</v>
      </c>
      <c r="C4" s="128"/>
      <c r="D4" s="129"/>
      <c r="F4" s="21"/>
      <c r="G4" s="21"/>
      <c r="H4" s="1"/>
      <c r="I4" s="109"/>
      <c r="J4" s="109"/>
      <c r="K4" s="109"/>
      <c r="L4" s="109"/>
      <c r="M4" s="109"/>
      <c r="N4" s="127" t="s">
        <v>51</v>
      </c>
      <c r="O4" s="23"/>
      <c r="P4" s="24"/>
      <c r="Q4" s="235"/>
      <c r="R4" s="235"/>
      <c r="S4" s="235"/>
      <c r="T4" s="130"/>
      <c r="W4" s="131"/>
      <c r="AB4" s="27"/>
    </row>
    <row r="5" spans="2:28" s="6" customFormat="1" ht="24" customHeight="1">
      <c r="B5" s="236" t="s">
        <v>52</v>
      </c>
      <c r="C5" s="236" t="s">
        <v>53</v>
      </c>
      <c r="D5" s="236" t="s">
        <v>54</v>
      </c>
      <c r="E5" s="240" t="s">
        <v>55</v>
      </c>
      <c r="F5" s="240"/>
      <c r="G5" s="240"/>
      <c r="H5" s="246" t="s">
        <v>56</v>
      </c>
      <c r="I5" s="245" t="s">
        <v>57</v>
      </c>
      <c r="J5" s="244" t="s">
        <v>58</v>
      </c>
      <c r="K5" s="244" t="s">
        <v>59</v>
      </c>
      <c r="L5" s="244" t="s">
        <v>60</v>
      </c>
      <c r="M5" s="244" t="s">
        <v>59</v>
      </c>
      <c r="N5" s="242" t="s">
        <v>119</v>
      </c>
      <c r="O5" s="242" t="s">
        <v>111</v>
      </c>
      <c r="P5" s="241" t="s">
        <v>61</v>
      </c>
      <c r="Q5" s="234" t="s">
        <v>112</v>
      </c>
      <c r="R5" s="130"/>
      <c r="S5" s="130"/>
      <c r="T5" s="130"/>
      <c r="W5" s="27"/>
    </row>
    <row r="6" spans="2:28" s="6" customFormat="1" ht="33.75" customHeight="1" thickBot="1">
      <c r="B6" s="237"/>
      <c r="C6" s="237"/>
      <c r="D6" s="237"/>
      <c r="E6" s="86" t="s">
        <v>62</v>
      </c>
      <c r="F6" s="86" t="s">
        <v>63</v>
      </c>
      <c r="G6" s="86" t="s">
        <v>144</v>
      </c>
      <c r="H6" s="247"/>
      <c r="I6" s="245"/>
      <c r="J6" s="244"/>
      <c r="K6" s="244"/>
      <c r="L6" s="244"/>
      <c r="M6" s="244"/>
      <c r="N6" s="243"/>
      <c r="O6" s="243"/>
      <c r="P6" s="241"/>
      <c r="Q6" s="234"/>
      <c r="R6" s="130"/>
      <c r="S6" s="130"/>
      <c r="T6" s="130"/>
      <c r="U6" s="89" t="s">
        <v>64</v>
      </c>
      <c r="W6" s="27"/>
    </row>
    <row r="7" spans="2:28" s="7" customFormat="1" ht="49.5" customHeight="1" thickTop="1" thickBot="1">
      <c r="B7" s="142" t="s">
        <v>180</v>
      </c>
      <c r="C7" s="84">
        <v>1</v>
      </c>
      <c r="D7" s="28" t="s">
        <v>76</v>
      </c>
      <c r="E7" s="80" t="s">
        <v>10</v>
      </c>
      <c r="F7" s="79" t="s">
        <v>10</v>
      </c>
      <c r="G7" s="79" t="s">
        <v>10</v>
      </c>
      <c r="H7" s="133">
        <f t="shared" ref="H7:H66" si="0">IF(L7&lt;=0,I7*J7,I7*J7*L7)</f>
        <v>168000</v>
      </c>
      <c r="I7" s="110">
        <v>7000</v>
      </c>
      <c r="J7" s="111">
        <v>24</v>
      </c>
      <c r="K7" s="112"/>
      <c r="L7" s="113">
        <v>1</v>
      </c>
      <c r="M7" s="114" t="s">
        <v>66</v>
      </c>
      <c r="N7" s="94" t="s">
        <v>108</v>
      </c>
      <c r="O7" s="94"/>
      <c r="P7" s="95" t="s">
        <v>120</v>
      </c>
      <c r="Q7" s="160" t="s">
        <v>165</v>
      </c>
      <c r="R7" s="8"/>
      <c r="S7" s="8"/>
      <c r="T7" s="9"/>
      <c r="V7" s="26"/>
    </row>
    <row r="8" spans="2:28" s="7" customFormat="1" ht="49.5" hidden="1" customHeight="1">
      <c r="B8" s="139" t="s">
        <v>131</v>
      </c>
      <c r="C8" s="85">
        <f>C7+1</f>
        <v>2</v>
      </c>
      <c r="D8" s="91" t="s">
        <v>76</v>
      </c>
      <c r="E8" s="80"/>
      <c r="F8" s="80"/>
      <c r="G8" s="80"/>
      <c r="H8" s="134">
        <f t="shared" si="0"/>
        <v>0</v>
      </c>
      <c r="I8" s="115"/>
      <c r="J8" s="116"/>
      <c r="K8" s="117"/>
      <c r="L8" s="116"/>
      <c r="M8" s="118"/>
      <c r="N8" s="96"/>
      <c r="O8" s="96"/>
      <c r="P8" s="97"/>
      <c r="Q8" s="97"/>
      <c r="R8" s="10"/>
      <c r="S8" s="10"/>
      <c r="T8" s="11"/>
      <c r="V8" s="26"/>
    </row>
    <row r="9" spans="2:28" s="7" customFormat="1" ht="49.5" hidden="1" customHeight="1">
      <c r="B9" s="139" t="s">
        <v>131</v>
      </c>
      <c r="C9" s="85">
        <f t="shared" ref="C9:C66" si="1">C8+1</f>
        <v>3</v>
      </c>
      <c r="D9" s="91" t="s">
        <v>76</v>
      </c>
      <c r="E9" s="80"/>
      <c r="F9" s="80"/>
      <c r="G9" s="80"/>
      <c r="H9" s="134">
        <f t="shared" si="0"/>
        <v>0</v>
      </c>
      <c r="I9" s="115"/>
      <c r="J9" s="116"/>
      <c r="K9" s="117"/>
      <c r="L9" s="116"/>
      <c r="M9" s="118"/>
      <c r="N9" s="96"/>
      <c r="O9" s="96"/>
      <c r="P9" s="97"/>
      <c r="Q9" s="97"/>
      <c r="R9" s="12"/>
      <c r="S9" s="12"/>
      <c r="T9" s="13"/>
      <c r="V9" s="26"/>
    </row>
    <row r="10" spans="2:28" s="7" customFormat="1" ht="49.5" hidden="1" customHeight="1">
      <c r="B10" s="139" t="s">
        <v>131</v>
      </c>
      <c r="C10" s="85">
        <f t="shared" si="1"/>
        <v>4</v>
      </c>
      <c r="D10" s="91" t="s">
        <v>76</v>
      </c>
      <c r="E10" s="80"/>
      <c r="F10" s="80"/>
      <c r="G10" s="80"/>
      <c r="H10" s="134">
        <f t="shared" si="0"/>
        <v>0</v>
      </c>
      <c r="I10" s="115"/>
      <c r="J10" s="116"/>
      <c r="K10" s="117"/>
      <c r="L10" s="116"/>
      <c r="M10" s="118"/>
      <c r="N10" s="96"/>
      <c r="O10" s="96"/>
      <c r="P10" s="97"/>
      <c r="Q10" s="97"/>
      <c r="R10" s="12"/>
      <c r="S10" s="12"/>
      <c r="T10" s="13"/>
      <c r="V10" s="26"/>
    </row>
    <row r="11" spans="2:28" s="7" customFormat="1" ht="49.5" hidden="1" customHeight="1">
      <c r="B11" s="139" t="s">
        <v>131</v>
      </c>
      <c r="C11" s="85">
        <f t="shared" si="1"/>
        <v>5</v>
      </c>
      <c r="D11" s="91" t="s">
        <v>76</v>
      </c>
      <c r="E11" s="80"/>
      <c r="F11" s="80"/>
      <c r="G11" s="80"/>
      <c r="H11" s="134">
        <f t="shared" si="0"/>
        <v>0</v>
      </c>
      <c r="I11" s="115"/>
      <c r="J11" s="116"/>
      <c r="K11" s="117"/>
      <c r="L11" s="116"/>
      <c r="M11" s="118"/>
      <c r="N11" s="96"/>
      <c r="O11" s="96"/>
      <c r="P11" s="97"/>
      <c r="Q11" s="97"/>
      <c r="R11" s="12"/>
      <c r="S11" s="12"/>
      <c r="T11" s="13"/>
      <c r="V11" s="26"/>
    </row>
    <row r="12" spans="2:28" s="7" customFormat="1" ht="49.5" hidden="1" customHeight="1">
      <c r="B12" s="139" t="s">
        <v>131</v>
      </c>
      <c r="C12" s="85">
        <f t="shared" si="1"/>
        <v>6</v>
      </c>
      <c r="D12" s="91" t="s">
        <v>76</v>
      </c>
      <c r="E12" s="80"/>
      <c r="F12" s="80"/>
      <c r="G12" s="80"/>
      <c r="H12" s="134">
        <f t="shared" si="0"/>
        <v>0</v>
      </c>
      <c r="I12" s="115"/>
      <c r="J12" s="116"/>
      <c r="K12" s="117"/>
      <c r="L12" s="116"/>
      <c r="M12" s="118"/>
      <c r="N12" s="96"/>
      <c r="O12" s="96"/>
      <c r="P12" s="97"/>
      <c r="Q12" s="97"/>
      <c r="R12" s="12"/>
      <c r="S12" s="12"/>
      <c r="T12" s="13"/>
      <c r="V12" s="26"/>
    </row>
    <row r="13" spans="2:28" s="7" customFormat="1" ht="49.5" hidden="1" customHeight="1">
      <c r="B13" s="139" t="s">
        <v>131</v>
      </c>
      <c r="C13" s="85">
        <f t="shared" si="1"/>
        <v>7</v>
      </c>
      <c r="D13" s="91" t="s">
        <v>76</v>
      </c>
      <c r="E13" s="80"/>
      <c r="F13" s="80"/>
      <c r="G13" s="80"/>
      <c r="H13" s="134">
        <f t="shared" si="0"/>
        <v>0</v>
      </c>
      <c r="I13" s="115"/>
      <c r="J13" s="116"/>
      <c r="K13" s="117"/>
      <c r="L13" s="116"/>
      <c r="M13" s="118"/>
      <c r="N13" s="96"/>
      <c r="O13" s="96"/>
      <c r="P13" s="97"/>
      <c r="Q13" s="97"/>
      <c r="R13" s="12"/>
      <c r="S13" s="12"/>
      <c r="T13" s="13"/>
      <c r="V13" s="26"/>
    </row>
    <row r="14" spans="2:28" s="7" customFormat="1" ht="49.5" hidden="1" customHeight="1">
      <c r="B14" s="139" t="s">
        <v>131</v>
      </c>
      <c r="C14" s="85">
        <f t="shared" si="1"/>
        <v>8</v>
      </c>
      <c r="D14" s="91" t="s">
        <v>76</v>
      </c>
      <c r="E14" s="80"/>
      <c r="F14" s="80"/>
      <c r="G14" s="80"/>
      <c r="H14" s="134">
        <f t="shared" si="0"/>
        <v>0</v>
      </c>
      <c r="I14" s="115"/>
      <c r="J14" s="116"/>
      <c r="K14" s="117"/>
      <c r="L14" s="116"/>
      <c r="M14" s="118"/>
      <c r="N14" s="96"/>
      <c r="O14" s="96"/>
      <c r="P14" s="97"/>
      <c r="Q14" s="97"/>
      <c r="R14" s="12"/>
      <c r="S14" s="12"/>
      <c r="T14" s="13"/>
      <c r="V14" s="26"/>
    </row>
    <row r="15" spans="2:28" s="7" customFormat="1" ht="49.5" hidden="1" customHeight="1">
      <c r="B15" s="139" t="s">
        <v>131</v>
      </c>
      <c r="C15" s="85">
        <f t="shared" si="1"/>
        <v>9</v>
      </c>
      <c r="D15" s="91" t="s">
        <v>76</v>
      </c>
      <c r="E15" s="80"/>
      <c r="F15" s="80"/>
      <c r="G15" s="80"/>
      <c r="H15" s="134">
        <f t="shared" si="0"/>
        <v>0</v>
      </c>
      <c r="I15" s="115"/>
      <c r="J15" s="116"/>
      <c r="K15" s="117"/>
      <c r="L15" s="116"/>
      <c r="M15" s="118"/>
      <c r="N15" s="96"/>
      <c r="O15" s="96"/>
      <c r="P15" s="97"/>
      <c r="Q15" s="97"/>
      <c r="R15" s="10"/>
      <c r="S15" s="10"/>
      <c r="T15" s="11"/>
      <c r="V15" s="26"/>
    </row>
    <row r="16" spans="2:28" s="7" customFormat="1" ht="49.5" hidden="1" customHeight="1">
      <c r="B16" s="139" t="s">
        <v>131</v>
      </c>
      <c r="C16" s="85">
        <f t="shared" si="1"/>
        <v>10</v>
      </c>
      <c r="D16" s="91" t="s">
        <v>76</v>
      </c>
      <c r="E16" s="80"/>
      <c r="F16" s="80"/>
      <c r="G16" s="80"/>
      <c r="H16" s="134">
        <f t="shared" si="0"/>
        <v>0</v>
      </c>
      <c r="I16" s="115"/>
      <c r="J16" s="116"/>
      <c r="K16" s="117"/>
      <c r="L16" s="116"/>
      <c r="M16" s="118"/>
      <c r="N16" s="96"/>
      <c r="O16" s="96"/>
      <c r="P16" s="97"/>
      <c r="Q16" s="97"/>
      <c r="R16" s="12"/>
      <c r="S16" s="12"/>
      <c r="T16" s="13"/>
      <c r="V16" s="26"/>
    </row>
    <row r="17" spans="2:22" s="7" customFormat="1" ht="49.5" hidden="1" customHeight="1">
      <c r="B17" s="139" t="s">
        <v>131</v>
      </c>
      <c r="C17" s="85">
        <f t="shared" si="1"/>
        <v>11</v>
      </c>
      <c r="D17" s="91" t="s">
        <v>76</v>
      </c>
      <c r="E17" s="80"/>
      <c r="F17" s="80"/>
      <c r="G17" s="80"/>
      <c r="H17" s="134">
        <f t="shared" si="0"/>
        <v>0</v>
      </c>
      <c r="I17" s="115"/>
      <c r="J17" s="116"/>
      <c r="K17" s="117"/>
      <c r="L17" s="116"/>
      <c r="M17" s="118"/>
      <c r="N17" s="96"/>
      <c r="O17" s="96"/>
      <c r="P17" s="97"/>
      <c r="Q17" s="97"/>
      <c r="R17" s="12"/>
      <c r="S17" s="12"/>
      <c r="T17" s="13"/>
      <c r="V17" s="26"/>
    </row>
    <row r="18" spans="2:22" s="7" customFormat="1" ht="49.5" hidden="1" customHeight="1">
      <c r="B18" s="139" t="s">
        <v>131</v>
      </c>
      <c r="C18" s="85">
        <f t="shared" si="1"/>
        <v>12</v>
      </c>
      <c r="D18" s="91" t="s">
        <v>76</v>
      </c>
      <c r="E18" s="80"/>
      <c r="F18" s="80"/>
      <c r="G18" s="80"/>
      <c r="H18" s="134">
        <f t="shared" si="0"/>
        <v>0</v>
      </c>
      <c r="I18" s="115"/>
      <c r="J18" s="116"/>
      <c r="K18" s="117"/>
      <c r="L18" s="116"/>
      <c r="M18" s="118"/>
      <c r="N18" s="96"/>
      <c r="O18" s="96"/>
      <c r="P18" s="97"/>
      <c r="Q18" s="97"/>
      <c r="R18" s="10"/>
      <c r="S18" s="10"/>
      <c r="T18" s="11"/>
      <c r="V18" s="26"/>
    </row>
    <row r="19" spans="2:22" s="7" customFormat="1" ht="49.5" hidden="1" customHeight="1">
      <c r="B19" s="139" t="s">
        <v>131</v>
      </c>
      <c r="C19" s="85">
        <f t="shared" si="1"/>
        <v>13</v>
      </c>
      <c r="D19" s="91" t="s">
        <v>76</v>
      </c>
      <c r="E19" s="80"/>
      <c r="F19" s="80"/>
      <c r="G19" s="80"/>
      <c r="H19" s="134">
        <f t="shared" si="0"/>
        <v>0</v>
      </c>
      <c r="I19" s="115"/>
      <c r="J19" s="116"/>
      <c r="K19" s="117"/>
      <c r="L19" s="116"/>
      <c r="M19" s="118"/>
      <c r="N19" s="96"/>
      <c r="O19" s="96"/>
      <c r="P19" s="97"/>
      <c r="Q19" s="97"/>
      <c r="R19" s="12"/>
      <c r="S19" s="12"/>
      <c r="T19" s="13"/>
      <c r="V19" s="26"/>
    </row>
    <row r="20" spans="2:22" s="7" customFormat="1" ht="49.5" hidden="1" customHeight="1">
      <c r="B20" s="139" t="s">
        <v>131</v>
      </c>
      <c r="C20" s="85">
        <f t="shared" si="1"/>
        <v>14</v>
      </c>
      <c r="D20" s="91" t="s">
        <v>76</v>
      </c>
      <c r="E20" s="80"/>
      <c r="F20" s="80"/>
      <c r="G20" s="80"/>
      <c r="H20" s="134">
        <f t="shared" si="0"/>
        <v>0</v>
      </c>
      <c r="I20" s="115"/>
      <c r="J20" s="116"/>
      <c r="K20" s="117"/>
      <c r="L20" s="116"/>
      <c r="M20" s="118"/>
      <c r="N20" s="96"/>
      <c r="O20" s="96"/>
      <c r="P20" s="97"/>
      <c r="Q20" s="97"/>
      <c r="R20" s="12"/>
      <c r="S20" s="12"/>
      <c r="T20" s="13"/>
      <c r="V20" s="26"/>
    </row>
    <row r="21" spans="2:22" s="7" customFormat="1" ht="49.5" hidden="1" customHeight="1">
      <c r="B21" s="139" t="s">
        <v>131</v>
      </c>
      <c r="C21" s="85">
        <f t="shared" si="1"/>
        <v>15</v>
      </c>
      <c r="D21" s="91" t="s">
        <v>76</v>
      </c>
      <c r="E21" s="80"/>
      <c r="F21" s="80"/>
      <c r="G21" s="80"/>
      <c r="H21" s="134">
        <f t="shared" si="0"/>
        <v>0</v>
      </c>
      <c r="I21" s="115"/>
      <c r="J21" s="116"/>
      <c r="K21" s="117"/>
      <c r="L21" s="116"/>
      <c r="M21" s="118"/>
      <c r="N21" s="96"/>
      <c r="O21" s="96"/>
      <c r="P21" s="97"/>
      <c r="Q21" s="97"/>
      <c r="R21" s="12"/>
      <c r="S21" s="12"/>
      <c r="T21" s="13"/>
      <c r="V21" s="26"/>
    </row>
    <row r="22" spans="2:22" s="7" customFormat="1" ht="49.5" hidden="1" customHeight="1">
      <c r="B22" s="139" t="s">
        <v>131</v>
      </c>
      <c r="C22" s="85">
        <f t="shared" si="1"/>
        <v>16</v>
      </c>
      <c r="D22" s="91" t="s">
        <v>76</v>
      </c>
      <c r="E22" s="80"/>
      <c r="F22" s="80"/>
      <c r="G22" s="80"/>
      <c r="H22" s="134">
        <f t="shared" si="0"/>
        <v>0</v>
      </c>
      <c r="I22" s="115"/>
      <c r="J22" s="116"/>
      <c r="K22" s="117"/>
      <c r="L22" s="116"/>
      <c r="M22" s="118"/>
      <c r="N22" s="96"/>
      <c r="O22" s="96"/>
      <c r="P22" s="97"/>
      <c r="Q22" s="97"/>
      <c r="R22" s="12"/>
      <c r="S22" s="12"/>
      <c r="T22" s="13"/>
      <c r="V22" s="26"/>
    </row>
    <row r="23" spans="2:22" s="7" customFormat="1" ht="49.5" hidden="1" customHeight="1">
      <c r="B23" s="139" t="s">
        <v>131</v>
      </c>
      <c r="C23" s="85">
        <f t="shared" si="1"/>
        <v>17</v>
      </c>
      <c r="D23" s="91" t="s">
        <v>76</v>
      </c>
      <c r="E23" s="80"/>
      <c r="F23" s="80"/>
      <c r="G23" s="80"/>
      <c r="H23" s="134">
        <f t="shared" si="0"/>
        <v>0</v>
      </c>
      <c r="I23" s="115"/>
      <c r="J23" s="116"/>
      <c r="K23" s="117"/>
      <c r="L23" s="116"/>
      <c r="M23" s="118"/>
      <c r="N23" s="96"/>
      <c r="O23" s="96"/>
      <c r="P23" s="97"/>
      <c r="Q23" s="97"/>
      <c r="R23" s="12"/>
      <c r="S23" s="12"/>
      <c r="T23" s="13"/>
      <c r="V23" s="26"/>
    </row>
    <row r="24" spans="2:22" s="7" customFormat="1" ht="49.5" hidden="1" customHeight="1">
      <c r="B24" s="139" t="s">
        <v>131</v>
      </c>
      <c r="C24" s="85">
        <f t="shared" si="1"/>
        <v>18</v>
      </c>
      <c r="D24" s="91" t="s">
        <v>76</v>
      </c>
      <c r="E24" s="80"/>
      <c r="F24" s="80"/>
      <c r="G24" s="80"/>
      <c r="H24" s="134">
        <f t="shared" si="0"/>
        <v>0</v>
      </c>
      <c r="I24" s="115"/>
      <c r="J24" s="116"/>
      <c r="K24" s="117"/>
      <c r="L24" s="116"/>
      <c r="M24" s="118"/>
      <c r="N24" s="96"/>
      <c r="O24" s="96"/>
      <c r="P24" s="97"/>
      <c r="Q24" s="97"/>
      <c r="R24" s="12"/>
      <c r="S24" s="12"/>
      <c r="T24" s="13"/>
      <c r="V24" s="26"/>
    </row>
    <row r="25" spans="2:22" s="7" customFormat="1" ht="49.5" hidden="1" customHeight="1">
      <c r="B25" s="139" t="s">
        <v>131</v>
      </c>
      <c r="C25" s="85">
        <f t="shared" si="1"/>
        <v>19</v>
      </c>
      <c r="D25" s="91" t="s">
        <v>76</v>
      </c>
      <c r="E25" s="80"/>
      <c r="F25" s="80"/>
      <c r="G25" s="80"/>
      <c r="H25" s="134">
        <f t="shared" si="0"/>
        <v>0</v>
      </c>
      <c r="I25" s="115"/>
      <c r="J25" s="116"/>
      <c r="K25" s="117"/>
      <c r="L25" s="116"/>
      <c r="M25" s="118"/>
      <c r="N25" s="96"/>
      <c r="O25" s="96"/>
      <c r="P25" s="97"/>
      <c r="Q25" s="97"/>
      <c r="R25" s="10"/>
      <c r="S25" s="10"/>
      <c r="T25" s="11"/>
      <c r="V25" s="26"/>
    </row>
    <row r="26" spans="2:22" s="7" customFormat="1" ht="49.5" hidden="1" customHeight="1">
      <c r="B26" s="139" t="s">
        <v>131</v>
      </c>
      <c r="C26" s="85">
        <f t="shared" si="1"/>
        <v>20</v>
      </c>
      <c r="D26" s="91" t="s">
        <v>76</v>
      </c>
      <c r="E26" s="80"/>
      <c r="F26" s="80"/>
      <c r="G26" s="80"/>
      <c r="H26" s="134">
        <f>IF(L26&lt;=0,I26*J26,I26*J26*L26)</f>
        <v>0</v>
      </c>
      <c r="I26" s="115"/>
      <c r="J26" s="116"/>
      <c r="K26" s="117"/>
      <c r="L26" s="116"/>
      <c r="M26" s="118"/>
      <c r="N26" s="96"/>
      <c r="O26" s="96"/>
      <c r="P26" s="97"/>
      <c r="Q26" s="97"/>
      <c r="R26" s="12"/>
      <c r="S26" s="12"/>
      <c r="T26" s="13"/>
      <c r="V26" s="26"/>
    </row>
    <row r="27" spans="2:22" s="7" customFormat="1" ht="49.5" hidden="1" customHeight="1">
      <c r="B27" s="139" t="s">
        <v>131</v>
      </c>
      <c r="C27" s="85">
        <f t="shared" si="1"/>
        <v>21</v>
      </c>
      <c r="D27" s="91" t="s">
        <v>76</v>
      </c>
      <c r="E27" s="80"/>
      <c r="F27" s="80"/>
      <c r="G27" s="80"/>
      <c r="H27" s="134">
        <f t="shared" ref="H27:H57" si="2">IF(L27&lt;=0,I27*J27,I27*J27*L27)</f>
        <v>0</v>
      </c>
      <c r="I27" s="115"/>
      <c r="J27" s="116"/>
      <c r="K27" s="117"/>
      <c r="L27" s="116"/>
      <c r="M27" s="118"/>
      <c r="N27" s="96"/>
      <c r="O27" s="96"/>
      <c r="P27" s="97"/>
      <c r="Q27" s="97"/>
      <c r="R27" s="12"/>
      <c r="S27" s="12"/>
      <c r="T27" s="13"/>
      <c r="V27" s="26"/>
    </row>
    <row r="28" spans="2:22" s="7" customFormat="1" ht="49.5" hidden="1" customHeight="1">
      <c r="B28" s="139" t="s">
        <v>131</v>
      </c>
      <c r="C28" s="85">
        <f t="shared" si="1"/>
        <v>22</v>
      </c>
      <c r="D28" s="91" t="s">
        <v>76</v>
      </c>
      <c r="E28" s="80"/>
      <c r="F28" s="80"/>
      <c r="G28" s="80"/>
      <c r="H28" s="134">
        <f t="shared" si="2"/>
        <v>0</v>
      </c>
      <c r="I28" s="115"/>
      <c r="J28" s="116"/>
      <c r="K28" s="117"/>
      <c r="L28" s="116"/>
      <c r="M28" s="118"/>
      <c r="N28" s="96"/>
      <c r="O28" s="96"/>
      <c r="P28" s="97"/>
      <c r="Q28" s="97"/>
      <c r="R28" s="12"/>
      <c r="S28" s="12"/>
      <c r="T28" s="13"/>
      <c r="V28" s="26"/>
    </row>
    <row r="29" spans="2:22" s="7" customFormat="1" ht="49.5" hidden="1" customHeight="1">
      <c r="B29" s="139" t="s">
        <v>131</v>
      </c>
      <c r="C29" s="85">
        <f t="shared" si="1"/>
        <v>23</v>
      </c>
      <c r="D29" s="91" t="s">
        <v>76</v>
      </c>
      <c r="E29" s="80"/>
      <c r="F29" s="80"/>
      <c r="G29" s="80"/>
      <c r="H29" s="134">
        <f t="shared" si="2"/>
        <v>0</v>
      </c>
      <c r="I29" s="115"/>
      <c r="J29" s="116"/>
      <c r="K29" s="117"/>
      <c r="L29" s="116"/>
      <c r="M29" s="118"/>
      <c r="N29" s="96"/>
      <c r="O29" s="96"/>
      <c r="P29" s="97"/>
      <c r="Q29" s="97"/>
      <c r="R29" s="12"/>
      <c r="S29" s="12"/>
      <c r="T29" s="13"/>
      <c r="V29" s="26"/>
    </row>
    <row r="30" spans="2:22" s="7" customFormat="1" ht="49.5" hidden="1" customHeight="1">
      <c r="B30" s="139" t="s">
        <v>131</v>
      </c>
      <c r="C30" s="85">
        <f t="shared" si="1"/>
        <v>24</v>
      </c>
      <c r="D30" s="91" t="s">
        <v>76</v>
      </c>
      <c r="E30" s="80"/>
      <c r="F30" s="80"/>
      <c r="G30" s="80"/>
      <c r="H30" s="134">
        <f t="shared" si="2"/>
        <v>0</v>
      </c>
      <c r="I30" s="115"/>
      <c r="J30" s="116"/>
      <c r="K30" s="117"/>
      <c r="L30" s="116"/>
      <c r="M30" s="118"/>
      <c r="N30" s="96"/>
      <c r="O30" s="96"/>
      <c r="P30" s="97"/>
      <c r="Q30" s="97"/>
      <c r="R30" s="12"/>
      <c r="S30" s="12"/>
      <c r="T30" s="13"/>
      <c r="V30" s="26"/>
    </row>
    <row r="31" spans="2:22" s="7" customFormat="1" ht="49.5" hidden="1" customHeight="1">
      <c r="B31" s="139" t="s">
        <v>131</v>
      </c>
      <c r="C31" s="85">
        <f t="shared" si="1"/>
        <v>25</v>
      </c>
      <c r="D31" s="91" t="s">
        <v>76</v>
      </c>
      <c r="E31" s="80"/>
      <c r="F31" s="80"/>
      <c r="G31" s="80"/>
      <c r="H31" s="134">
        <f t="shared" si="2"/>
        <v>0</v>
      </c>
      <c r="I31" s="115"/>
      <c r="J31" s="116"/>
      <c r="K31" s="117"/>
      <c r="L31" s="116"/>
      <c r="M31" s="118"/>
      <c r="N31" s="96"/>
      <c r="O31" s="96"/>
      <c r="P31" s="97"/>
      <c r="Q31" s="97"/>
      <c r="R31" s="12"/>
      <c r="S31" s="12"/>
      <c r="T31" s="13"/>
      <c r="V31" s="26"/>
    </row>
    <row r="32" spans="2:22" s="7" customFormat="1" ht="49.5" hidden="1" customHeight="1">
      <c r="B32" s="139" t="s">
        <v>131</v>
      </c>
      <c r="C32" s="85">
        <f t="shared" si="1"/>
        <v>26</v>
      </c>
      <c r="D32" s="91" t="s">
        <v>76</v>
      </c>
      <c r="E32" s="80"/>
      <c r="F32" s="80"/>
      <c r="G32" s="80"/>
      <c r="H32" s="134">
        <f t="shared" si="2"/>
        <v>0</v>
      </c>
      <c r="I32" s="115"/>
      <c r="J32" s="116"/>
      <c r="K32" s="117"/>
      <c r="L32" s="116"/>
      <c r="M32" s="118"/>
      <c r="N32" s="96"/>
      <c r="O32" s="96"/>
      <c r="P32" s="97"/>
      <c r="Q32" s="97"/>
      <c r="R32" s="12"/>
      <c r="S32" s="12"/>
      <c r="T32" s="13"/>
      <c r="V32" s="26"/>
    </row>
    <row r="33" spans="2:22" s="7" customFormat="1" ht="49.5" hidden="1" customHeight="1">
      <c r="B33" s="139" t="s">
        <v>131</v>
      </c>
      <c r="C33" s="85">
        <f t="shared" si="1"/>
        <v>27</v>
      </c>
      <c r="D33" s="91" t="s">
        <v>76</v>
      </c>
      <c r="E33" s="80"/>
      <c r="F33" s="80"/>
      <c r="G33" s="80"/>
      <c r="H33" s="134">
        <f t="shared" si="2"/>
        <v>0</v>
      </c>
      <c r="I33" s="115"/>
      <c r="J33" s="116"/>
      <c r="K33" s="117"/>
      <c r="L33" s="116"/>
      <c r="M33" s="118"/>
      <c r="N33" s="96"/>
      <c r="O33" s="96"/>
      <c r="P33" s="97"/>
      <c r="Q33" s="97"/>
      <c r="R33" s="12"/>
      <c r="S33" s="12"/>
      <c r="T33" s="13"/>
      <c r="V33" s="26"/>
    </row>
    <row r="34" spans="2:22" s="7" customFormat="1" ht="49.5" hidden="1" customHeight="1">
      <c r="B34" s="139" t="s">
        <v>131</v>
      </c>
      <c r="C34" s="85">
        <f t="shared" si="1"/>
        <v>28</v>
      </c>
      <c r="D34" s="91" t="s">
        <v>76</v>
      </c>
      <c r="E34" s="80"/>
      <c r="F34" s="80"/>
      <c r="G34" s="80"/>
      <c r="H34" s="134">
        <f t="shared" si="2"/>
        <v>0</v>
      </c>
      <c r="I34" s="115"/>
      <c r="J34" s="116"/>
      <c r="K34" s="117"/>
      <c r="L34" s="116"/>
      <c r="M34" s="118"/>
      <c r="N34" s="96"/>
      <c r="O34" s="96"/>
      <c r="P34" s="97"/>
      <c r="Q34" s="97"/>
      <c r="R34" s="12"/>
      <c r="S34" s="12"/>
      <c r="T34" s="13"/>
      <c r="V34" s="26"/>
    </row>
    <row r="35" spans="2:22" s="7" customFormat="1" ht="49.5" hidden="1" customHeight="1">
      <c r="B35" s="139" t="s">
        <v>131</v>
      </c>
      <c r="C35" s="85">
        <f t="shared" si="1"/>
        <v>29</v>
      </c>
      <c r="D35" s="91" t="s">
        <v>76</v>
      </c>
      <c r="E35" s="80"/>
      <c r="F35" s="80"/>
      <c r="G35" s="80"/>
      <c r="H35" s="134">
        <f t="shared" si="2"/>
        <v>0</v>
      </c>
      <c r="I35" s="115"/>
      <c r="J35" s="116"/>
      <c r="K35" s="117"/>
      <c r="L35" s="116"/>
      <c r="M35" s="118"/>
      <c r="N35" s="96"/>
      <c r="O35" s="96"/>
      <c r="P35" s="97"/>
      <c r="Q35" s="97"/>
      <c r="R35" s="12"/>
      <c r="S35" s="12"/>
      <c r="T35" s="13"/>
      <c r="V35" s="26"/>
    </row>
    <row r="36" spans="2:22" s="7" customFormat="1" ht="49.5" hidden="1" customHeight="1">
      <c r="B36" s="139" t="s">
        <v>131</v>
      </c>
      <c r="C36" s="85">
        <f t="shared" si="1"/>
        <v>30</v>
      </c>
      <c r="D36" s="91" t="s">
        <v>76</v>
      </c>
      <c r="E36" s="80"/>
      <c r="F36" s="80"/>
      <c r="G36" s="80"/>
      <c r="H36" s="134">
        <f t="shared" si="2"/>
        <v>0</v>
      </c>
      <c r="I36" s="115"/>
      <c r="J36" s="116"/>
      <c r="K36" s="117"/>
      <c r="L36" s="116"/>
      <c r="M36" s="118"/>
      <c r="N36" s="96"/>
      <c r="O36" s="96"/>
      <c r="P36" s="97"/>
      <c r="Q36" s="97"/>
      <c r="R36" s="12"/>
      <c r="S36" s="12"/>
      <c r="T36" s="13"/>
      <c r="U36" s="88" t="s">
        <v>67</v>
      </c>
      <c r="V36" s="26"/>
    </row>
    <row r="37" spans="2:22" s="7" customFormat="1" ht="49.5" hidden="1" customHeight="1">
      <c r="B37" s="139" t="s">
        <v>131</v>
      </c>
      <c r="C37" s="85">
        <f t="shared" si="1"/>
        <v>31</v>
      </c>
      <c r="D37" s="91" t="s">
        <v>76</v>
      </c>
      <c r="E37" s="80"/>
      <c r="F37" s="80"/>
      <c r="G37" s="80"/>
      <c r="H37" s="134">
        <f t="shared" si="2"/>
        <v>0</v>
      </c>
      <c r="I37" s="115"/>
      <c r="J37" s="116"/>
      <c r="K37" s="117"/>
      <c r="L37" s="116"/>
      <c r="M37" s="118"/>
      <c r="N37" s="96"/>
      <c r="O37" s="96"/>
      <c r="P37" s="97"/>
      <c r="Q37" s="97"/>
      <c r="R37" s="12"/>
      <c r="S37" s="12"/>
      <c r="T37" s="13"/>
      <c r="V37" s="26"/>
    </row>
    <row r="38" spans="2:22" s="7" customFormat="1" ht="49.5" hidden="1" customHeight="1">
      <c r="B38" s="139" t="s">
        <v>131</v>
      </c>
      <c r="C38" s="85">
        <f t="shared" si="1"/>
        <v>32</v>
      </c>
      <c r="D38" s="91" t="s">
        <v>76</v>
      </c>
      <c r="E38" s="80"/>
      <c r="F38" s="80"/>
      <c r="G38" s="80"/>
      <c r="H38" s="134">
        <f t="shared" si="2"/>
        <v>0</v>
      </c>
      <c r="I38" s="115"/>
      <c r="J38" s="116"/>
      <c r="K38" s="117"/>
      <c r="L38" s="116"/>
      <c r="M38" s="118"/>
      <c r="N38" s="96"/>
      <c r="O38" s="96"/>
      <c r="P38" s="97"/>
      <c r="Q38" s="97"/>
      <c r="R38" s="12"/>
      <c r="S38" s="12"/>
      <c r="T38" s="13"/>
      <c r="V38" s="26"/>
    </row>
    <row r="39" spans="2:22" s="7" customFormat="1" ht="49.5" hidden="1" customHeight="1">
      <c r="B39" s="139" t="s">
        <v>131</v>
      </c>
      <c r="C39" s="85">
        <f t="shared" si="1"/>
        <v>33</v>
      </c>
      <c r="D39" s="91" t="s">
        <v>76</v>
      </c>
      <c r="E39" s="80"/>
      <c r="F39" s="80"/>
      <c r="G39" s="80"/>
      <c r="H39" s="134">
        <f t="shared" si="2"/>
        <v>0</v>
      </c>
      <c r="I39" s="115"/>
      <c r="J39" s="116"/>
      <c r="K39" s="117"/>
      <c r="L39" s="116"/>
      <c r="M39" s="118"/>
      <c r="N39" s="96"/>
      <c r="O39" s="96"/>
      <c r="P39" s="97"/>
      <c r="Q39" s="97"/>
      <c r="R39" s="12"/>
      <c r="S39" s="12"/>
      <c r="T39" s="13"/>
      <c r="V39" s="26"/>
    </row>
    <row r="40" spans="2:22" s="7" customFormat="1" ht="49.5" hidden="1" customHeight="1">
      <c r="B40" s="139" t="s">
        <v>131</v>
      </c>
      <c r="C40" s="85">
        <f t="shared" si="1"/>
        <v>34</v>
      </c>
      <c r="D40" s="91" t="s">
        <v>76</v>
      </c>
      <c r="E40" s="80"/>
      <c r="F40" s="80"/>
      <c r="G40" s="80"/>
      <c r="H40" s="134">
        <f t="shared" si="2"/>
        <v>0</v>
      </c>
      <c r="I40" s="115"/>
      <c r="J40" s="116"/>
      <c r="K40" s="117"/>
      <c r="L40" s="116"/>
      <c r="M40" s="118"/>
      <c r="N40" s="96"/>
      <c r="O40" s="96"/>
      <c r="P40" s="97"/>
      <c r="Q40" s="97"/>
      <c r="R40" s="12"/>
      <c r="S40" s="12"/>
      <c r="T40" s="13"/>
      <c r="V40" s="26"/>
    </row>
    <row r="41" spans="2:22" s="7" customFormat="1" ht="49.5" hidden="1" customHeight="1">
      <c r="B41" s="139" t="s">
        <v>131</v>
      </c>
      <c r="C41" s="85">
        <f t="shared" si="1"/>
        <v>35</v>
      </c>
      <c r="D41" s="91" t="s">
        <v>76</v>
      </c>
      <c r="E41" s="80"/>
      <c r="F41" s="80"/>
      <c r="G41" s="80"/>
      <c r="H41" s="134">
        <f t="shared" si="2"/>
        <v>0</v>
      </c>
      <c r="I41" s="115"/>
      <c r="J41" s="116"/>
      <c r="K41" s="117"/>
      <c r="L41" s="116"/>
      <c r="M41" s="118"/>
      <c r="N41" s="96"/>
      <c r="O41" s="96"/>
      <c r="P41" s="97"/>
      <c r="Q41" s="97"/>
      <c r="R41" s="12"/>
      <c r="S41" s="12"/>
      <c r="T41" s="13"/>
      <c r="V41" s="26"/>
    </row>
    <row r="42" spans="2:22" s="7" customFormat="1" ht="49.5" hidden="1" customHeight="1">
      <c r="B42" s="139" t="s">
        <v>131</v>
      </c>
      <c r="C42" s="85">
        <f t="shared" si="1"/>
        <v>36</v>
      </c>
      <c r="D42" s="91" t="s">
        <v>76</v>
      </c>
      <c r="E42" s="80"/>
      <c r="F42" s="80"/>
      <c r="G42" s="80"/>
      <c r="H42" s="134">
        <f t="shared" si="2"/>
        <v>0</v>
      </c>
      <c r="I42" s="115"/>
      <c r="J42" s="116"/>
      <c r="K42" s="117"/>
      <c r="L42" s="116"/>
      <c r="M42" s="118"/>
      <c r="N42" s="96"/>
      <c r="O42" s="96"/>
      <c r="P42" s="97"/>
      <c r="Q42" s="97"/>
      <c r="R42" s="12"/>
      <c r="S42" s="12"/>
      <c r="T42" s="13"/>
      <c r="V42" s="26"/>
    </row>
    <row r="43" spans="2:22" s="7" customFormat="1" ht="49.5" hidden="1" customHeight="1">
      <c r="B43" s="139" t="s">
        <v>131</v>
      </c>
      <c r="C43" s="85">
        <f t="shared" si="1"/>
        <v>37</v>
      </c>
      <c r="D43" s="91" t="s">
        <v>76</v>
      </c>
      <c r="E43" s="80"/>
      <c r="F43" s="80"/>
      <c r="G43" s="80"/>
      <c r="H43" s="134">
        <f t="shared" si="2"/>
        <v>0</v>
      </c>
      <c r="I43" s="115"/>
      <c r="J43" s="116"/>
      <c r="K43" s="117"/>
      <c r="L43" s="116"/>
      <c r="M43" s="118"/>
      <c r="N43" s="96"/>
      <c r="O43" s="96"/>
      <c r="P43" s="97"/>
      <c r="Q43" s="97"/>
      <c r="R43" s="12"/>
      <c r="S43" s="12"/>
      <c r="T43" s="13"/>
      <c r="V43" s="26"/>
    </row>
    <row r="44" spans="2:22" s="7" customFormat="1" ht="49.5" hidden="1" customHeight="1">
      <c r="B44" s="139" t="s">
        <v>131</v>
      </c>
      <c r="C44" s="85">
        <f t="shared" si="1"/>
        <v>38</v>
      </c>
      <c r="D44" s="91" t="s">
        <v>76</v>
      </c>
      <c r="E44" s="80"/>
      <c r="F44" s="80"/>
      <c r="G44" s="80"/>
      <c r="H44" s="134">
        <f t="shared" si="2"/>
        <v>0</v>
      </c>
      <c r="I44" s="115"/>
      <c r="J44" s="116"/>
      <c r="K44" s="117"/>
      <c r="L44" s="116"/>
      <c r="M44" s="118"/>
      <c r="N44" s="96"/>
      <c r="O44" s="96"/>
      <c r="P44" s="97"/>
      <c r="Q44" s="97"/>
      <c r="R44" s="12"/>
      <c r="S44" s="12"/>
      <c r="T44" s="13"/>
      <c r="V44" s="26"/>
    </row>
    <row r="45" spans="2:22" s="7" customFormat="1" ht="49.5" hidden="1" customHeight="1">
      <c r="B45" s="139" t="s">
        <v>131</v>
      </c>
      <c r="C45" s="85">
        <f t="shared" si="1"/>
        <v>39</v>
      </c>
      <c r="D45" s="91" t="s">
        <v>76</v>
      </c>
      <c r="E45" s="80"/>
      <c r="F45" s="80"/>
      <c r="G45" s="80"/>
      <c r="H45" s="134">
        <f t="shared" si="2"/>
        <v>0</v>
      </c>
      <c r="I45" s="115"/>
      <c r="J45" s="116"/>
      <c r="K45" s="117"/>
      <c r="L45" s="116"/>
      <c r="M45" s="118"/>
      <c r="N45" s="96"/>
      <c r="O45" s="96"/>
      <c r="P45" s="97"/>
      <c r="Q45" s="97"/>
      <c r="R45" s="12"/>
      <c r="S45" s="12"/>
      <c r="T45" s="13"/>
      <c r="V45" s="26"/>
    </row>
    <row r="46" spans="2:22" s="7" customFormat="1" ht="49.5" hidden="1" customHeight="1">
      <c r="B46" s="139" t="s">
        <v>131</v>
      </c>
      <c r="C46" s="85">
        <f t="shared" si="1"/>
        <v>40</v>
      </c>
      <c r="D46" s="91" t="s">
        <v>76</v>
      </c>
      <c r="E46" s="80"/>
      <c r="F46" s="80"/>
      <c r="G46" s="80"/>
      <c r="H46" s="134">
        <f t="shared" si="2"/>
        <v>0</v>
      </c>
      <c r="I46" s="115"/>
      <c r="J46" s="116"/>
      <c r="K46" s="117"/>
      <c r="L46" s="116"/>
      <c r="M46" s="118"/>
      <c r="N46" s="96"/>
      <c r="O46" s="96"/>
      <c r="P46" s="97"/>
      <c r="Q46" s="97"/>
      <c r="R46" s="12"/>
      <c r="S46" s="12"/>
      <c r="T46" s="13"/>
      <c r="V46" s="26"/>
    </row>
    <row r="47" spans="2:22" s="7" customFormat="1" ht="49.5" hidden="1" customHeight="1">
      <c r="B47" s="139" t="s">
        <v>131</v>
      </c>
      <c r="C47" s="85">
        <f t="shared" si="1"/>
        <v>41</v>
      </c>
      <c r="D47" s="91" t="s">
        <v>76</v>
      </c>
      <c r="E47" s="80"/>
      <c r="F47" s="80"/>
      <c r="G47" s="80"/>
      <c r="H47" s="134">
        <f t="shared" si="2"/>
        <v>0</v>
      </c>
      <c r="I47" s="115"/>
      <c r="J47" s="116"/>
      <c r="K47" s="117"/>
      <c r="L47" s="116"/>
      <c r="M47" s="118"/>
      <c r="N47" s="96"/>
      <c r="O47" s="96"/>
      <c r="P47" s="97"/>
      <c r="Q47" s="97"/>
      <c r="R47" s="12"/>
      <c r="S47" s="12"/>
      <c r="T47" s="13"/>
      <c r="V47" s="26"/>
    </row>
    <row r="48" spans="2:22" s="7" customFormat="1" ht="49.5" hidden="1" customHeight="1">
      <c r="B48" s="139" t="s">
        <v>131</v>
      </c>
      <c r="C48" s="85">
        <f t="shared" si="1"/>
        <v>42</v>
      </c>
      <c r="D48" s="91" t="s">
        <v>76</v>
      </c>
      <c r="E48" s="80"/>
      <c r="F48" s="80"/>
      <c r="G48" s="80"/>
      <c r="H48" s="134">
        <f t="shared" si="2"/>
        <v>0</v>
      </c>
      <c r="I48" s="115"/>
      <c r="J48" s="116"/>
      <c r="K48" s="117"/>
      <c r="L48" s="116"/>
      <c r="M48" s="118"/>
      <c r="N48" s="96"/>
      <c r="O48" s="96"/>
      <c r="P48" s="97"/>
      <c r="Q48" s="97"/>
      <c r="R48" s="12"/>
      <c r="S48" s="12"/>
      <c r="T48" s="13"/>
      <c r="V48" s="26"/>
    </row>
    <row r="49" spans="2:22" s="7" customFormat="1" ht="49.5" hidden="1" customHeight="1">
      <c r="B49" s="139" t="s">
        <v>131</v>
      </c>
      <c r="C49" s="85">
        <f t="shared" si="1"/>
        <v>43</v>
      </c>
      <c r="D49" s="91" t="s">
        <v>76</v>
      </c>
      <c r="E49" s="80"/>
      <c r="F49" s="80"/>
      <c r="G49" s="80"/>
      <c r="H49" s="134">
        <f t="shared" si="2"/>
        <v>0</v>
      </c>
      <c r="I49" s="115"/>
      <c r="J49" s="116"/>
      <c r="K49" s="117"/>
      <c r="L49" s="116"/>
      <c r="M49" s="118"/>
      <c r="N49" s="96"/>
      <c r="O49" s="96"/>
      <c r="P49" s="97"/>
      <c r="Q49" s="97"/>
      <c r="R49" s="12"/>
      <c r="S49" s="12"/>
      <c r="T49" s="13"/>
      <c r="V49" s="26"/>
    </row>
    <row r="50" spans="2:22" s="7" customFormat="1" ht="49.5" hidden="1" customHeight="1">
      <c r="B50" s="139" t="s">
        <v>131</v>
      </c>
      <c r="C50" s="85">
        <f t="shared" si="1"/>
        <v>44</v>
      </c>
      <c r="D50" s="91" t="s">
        <v>76</v>
      </c>
      <c r="E50" s="80"/>
      <c r="F50" s="80"/>
      <c r="G50" s="80"/>
      <c r="H50" s="134">
        <f t="shared" si="2"/>
        <v>0</v>
      </c>
      <c r="I50" s="115"/>
      <c r="J50" s="116"/>
      <c r="K50" s="117"/>
      <c r="L50" s="116"/>
      <c r="M50" s="118"/>
      <c r="N50" s="96"/>
      <c r="O50" s="96"/>
      <c r="P50" s="97"/>
      <c r="Q50" s="97"/>
      <c r="R50" s="12"/>
      <c r="S50" s="12"/>
      <c r="T50" s="13"/>
      <c r="V50" s="26"/>
    </row>
    <row r="51" spans="2:22" s="7" customFormat="1" ht="49.5" hidden="1" customHeight="1">
      <c r="B51" s="139" t="s">
        <v>131</v>
      </c>
      <c r="C51" s="85">
        <f t="shared" si="1"/>
        <v>45</v>
      </c>
      <c r="D51" s="91" t="s">
        <v>76</v>
      </c>
      <c r="E51" s="80"/>
      <c r="F51" s="80"/>
      <c r="G51" s="80"/>
      <c r="H51" s="134">
        <f t="shared" si="2"/>
        <v>0</v>
      </c>
      <c r="I51" s="115"/>
      <c r="J51" s="116"/>
      <c r="K51" s="117"/>
      <c r="L51" s="116"/>
      <c r="M51" s="118"/>
      <c r="N51" s="96"/>
      <c r="O51" s="96"/>
      <c r="P51" s="97"/>
      <c r="Q51" s="97"/>
      <c r="R51" s="12"/>
      <c r="S51" s="12"/>
      <c r="T51" s="13"/>
      <c r="V51" s="26"/>
    </row>
    <row r="52" spans="2:22" s="7" customFormat="1" ht="49.5" hidden="1" customHeight="1">
      <c r="B52" s="139" t="s">
        <v>131</v>
      </c>
      <c r="C52" s="85">
        <f t="shared" si="1"/>
        <v>46</v>
      </c>
      <c r="D52" s="91" t="s">
        <v>76</v>
      </c>
      <c r="E52" s="80"/>
      <c r="F52" s="80"/>
      <c r="G52" s="80"/>
      <c r="H52" s="134">
        <f t="shared" si="2"/>
        <v>0</v>
      </c>
      <c r="I52" s="115"/>
      <c r="J52" s="116"/>
      <c r="K52" s="117"/>
      <c r="L52" s="116"/>
      <c r="M52" s="118"/>
      <c r="N52" s="96"/>
      <c r="O52" s="96"/>
      <c r="P52" s="97"/>
      <c r="Q52" s="97"/>
      <c r="R52" s="12"/>
      <c r="S52" s="12"/>
      <c r="T52" s="13"/>
      <c r="V52" s="26"/>
    </row>
    <row r="53" spans="2:22" s="7" customFormat="1" ht="49.5" hidden="1" customHeight="1">
      <c r="B53" s="139" t="s">
        <v>131</v>
      </c>
      <c r="C53" s="85">
        <f t="shared" si="1"/>
        <v>47</v>
      </c>
      <c r="D53" s="91" t="s">
        <v>76</v>
      </c>
      <c r="E53" s="80"/>
      <c r="F53" s="80"/>
      <c r="G53" s="80"/>
      <c r="H53" s="134">
        <f t="shared" si="2"/>
        <v>0</v>
      </c>
      <c r="I53" s="115"/>
      <c r="J53" s="116"/>
      <c r="K53" s="117"/>
      <c r="L53" s="116"/>
      <c r="M53" s="118"/>
      <c r="N53" s="96"/>
      <c r="O53" s="96"/>
      <c r="P53" s="97"/>
      <c r="Q53" s="97"/>
      <c r="R53" s="12"/>
      <c r="S53" s="12"/>
      <c r="T53" s="13"/>
      <c r="V53" s="26"/>
    </row>
    <row r="54" spans="2:22" s="7" customFormat="1" ht="49.5" hidden="1" customHeight="1">
      <c r="B54" s="139" t="s">
        <v>131</v>
      </c>
      <c r="C54" s="85">
        <f t="shared" si="1"/>
        <v>48</v>
      </c>
      <c r="D54" s="91" t="s">
        <v>76</v>
      </c>
      <c r="E54" s="80"/>
      <c r="F54" s="80"/>
      <c r="G54" s="80"/>
      <c r="H54" s="134">
        <f t="shared" si="2"/>
        <v>0</v>
      </c>
      <c r="I54" s="115"/>
      <c r="J54" s="116"/>
      <c r="K54" s="117"/>
      <c r="L54" s="116"/>
      <c r="M54" s="118"/>
      <c r="N54" s="96"/>
      <c r="O54" s="96"/>
      <c r="P54" s="97"/>
      <c r="Q54" s="97"/>
      <c r="R54" s="12"/>
      <c r="S54" s="12"/>
      <c r="T54" s="13"/>
      <c r="V54" s="26"/>
    </row>
    <row r="55" spans="2:22" s="7" customFormat="1" ht="49.5" hidden="1" customHeight="1">
      <c r="B55" s="139" t="s">
        <v>131</v>
      </c>
      <c r="C55" s="85">
        <f t="shared" si="1"/>
        <v>49</v>
      </c>
      <c r="D55" s="91" t="s">
        <v>76</v>
      </c>
      <c r="E55" s="80"/>
      <c r="F55" s="80"/>
      <c r="G55" s="80"/>
      <c r="H55" s="134">
        <f t="shared" si="2"/>
        <v>0</v>
      </c>
      <c r="I55" s="115"/>
      <c r="J55" s="116"/>
      <c r="K55" s="117"/>
      <c r="L55" s="116"/>
      <c r="M55" s="118"/>
      <c r="N55" s="96"/>
      <c r="O55" s="96"/>
      <c r="P55" s="97"/>
      <c r="Q55" s="97"/>
      <c r="R55" s="12"/>
      <c r="S55" s="12"/>
      <c r="T55" s="13"/>
      <c r="V55" s="26"/>
    </row>
    <row r="56" spans="2:22" s="7" customFormat="1" ht="49.5" hidden="1" customHeight="1">
      <c r="B56" s="139" t="s">
        <v>131</v>
      </c>
      <c r="C56" s="85">
        <f t="shared" si="1"/>
        <v>50</v>
      </c>
      <c r="D56" s="91" t="s">
        <v>76</v>
      </c>
      <c r="E56" s="80"/>
      <c r="F56" s="80"/>
      <c r="G56" s="80"/>
      <c r="H56" s="134">
        <f t="shared" si="2"/>
        <v>0</v>
      </c>
      <c r="I56" s="115"/>
      <c r="J56" s="116"/>
      <c r="K56" s="117"/>
      <c r="L56" s="116"/>
      <c r="M56" s="118"/>
      <c r="N56" s="96"/>
      <c r="O56" s="96"/>
      <c r="P56" s="97"/>
      <c r="Q56" s="97"/>
      <c r="R56" s="12"/>
      <c r="S56" s="12"/>
      <c r="T56" s="13"/>
      <c r="V56" s="26"/>
    </row>
    <row r="57" spans="2:22" s="7" customFormat="1" ht="49.5" hidden="1" customHeight="1">
      <c r="B57" s="139" t="s">
        <v>131</v>
      </c>
      <c r="C57" s="85">
        <f t="shared" si="1"/>
        <v>51</v>
      </c>
      <c r="D57" s="91" t="s">
        <v>76</v>
      </c>
      <c r="E57" s="80"/>
      <c r="F57" s="80"/>
      <c r="G57" s="80"/>
      <c r="H57" s="134">
        <f t="shared" si="2"/>
        <v>0</v>
      </c>
      <c r="I57" s="115"/>
      <c r="J57" s="116"/>
      <c r="K57" s="117"/>
      <c r="L57" s="116"/>
      <c r="M57" s="118"/>
      <c r="N57" s="96"/>
      <c r="O57" s="96"/>
      <c r="P57" s="97"/>
      <c r="Q57" s="97"/>
      <c r="R57" s="12"/>
      <c r="S57" s="12"/>
      <c r="T57" s="13"/>
      <c r="V57" s="26"/>
    </row>
    <row r="58" spans="2:22" s="7" customFormat="1" ht="49.5" hidden="1" customHeight="1">
      <c r="B58" s="139" t="s">
        <v>131</v>
      </c>
      <c r="C58" s="85">
        <f t="shared" si="1"/>
        <v>52</v>
      </c>
      <c r="D58" s="91" t="s">
        <v>76</v>
      </c>
      <c r="E58" s="80"/>
      <c r="F58" s="80"/>
      <c r="G58" s="80"/>
      <c r="H58" s="134">
        <f t="shared" si="0"/>
        <v>0</v>
      </c>
      <c r="I58" s="115"/>
      <c r="J58" s="116"/>
      <c r="K58" s="117"/>
      <c r="L58" s="116"/>
      <c r="M58" s="118"/>
      <c r="N58" s="96"/>
      <c r="O58" s="96"/>
      <c r="P58" s="97"/>
      <c r="Q58" s="97"/>
      <c r="R58" s="12"/>
      <c r="S58" s="12"/>
      <c r="T58" s="13"/>
      <c r="V58" s="26"/>
    </row>
    <row r="59" spans="2:22" s="7" customFormat="1" ht="49.5" hidden="1" customHeight="1">
      <c r="B59" s="139" t="s">
        <v>131</v>
      </c>
      <c r="C59" s="85">
        <f t="shared" si="1"/>
        <v>53</v>
      </c>
      <c r="D59" s="91" t="s">
        <v>76</v>
      </c>
      <c r="E59" s="80"/>
      <c r="F59" s="80"/>
      <c r="G59" s="80"/>
      <c r="H59" s="134">
        <f t="shared" si="0"/>
        <v>0</v>
      </c>
      <c r="I59" s="115"/>
      <c r="J59" s="116"/>
      <c r="K59" s="117"/>
      <c r="L59" s="116"/>
      <c r="M59" s="118"/>
      <c r="N59" s="96"/>
      <c r="O59" s="96"/>
      <c r="P59" s="97"/>
      <c r="Q59" s="97"/>
      <c r="R59" s="12"/>
      <c r="S59" s="12"/>
      <c r="T59" s="13"/>
      <c r="V59" s="26"/>
    </row>
    <row r="60" spans="2:22" s="7" customFormat="1" ht="49.5" hidden="1" customHeight="1">
      <c r="B60" s="139" t="s">
        <v>131</v>
      </c>
      <c r="C60" s="85">
        <f t="shared" si="1"/>
        <v>54</v>
      </c>
      <c r="D60" s="91" t="s">
        <v>76</v>
      </c>
      <c r="E60" s="80"/>
      <c r="F60" s="80"/>
      <c r="G60" s="80"/>
      <c r="H60" s="134">
        <f t="shared" si="0"/>
        <v>0</v>
      </c>
      <c r="I60" s="115"/>
      <c r="J60" s="116"/>
      <c r="K60" s="117"/>
      <c r="L60" s="116"/>
      <c r="M60" s="118"/>
      <c r="N60" s="96"/>
      <c r="O60" s="96"/>
      <c r="P60" s="97"/>
      <c r="Q60" s="97"/>
      <c r="R60" s="10"/>
      <c r="S60" s="10"/>
      <c r="T60" s="11"/>
      <c r="V60" s="26"/>
    </row>
    <row r="61" spans="2:22" s="7" customFormat="1" ht="49.5" hidden="1" customHeight="1">
      <c r="B61" s="139" t="s">
        <v>131</v>
      </c>
      <c r="C61" s="85">
        <f t="shared" si="1"/>
        <v>55</v>
      </c>
      <c r="D61" s="91" t="s">
        <v>76</v>
      </c>
      <c r="E61" s="80"/>
      <c r="F61" s="80"/>
      <c r="G61" s="80"/>
      <c r="H61" s="134">
        <f t="shared" si="0"/>
        <v>0</v>
      </c>
      <c r="I61" s="115"/>
      <c r="J61" s="116"/>
      <c r="K61" s="117"/>
      <c r="L61" s="116"/>
      <c r="M61" s="118"/>
      <c r="N61" s="96"/>
      <c r="O61" s="96"/>
      <c r="P61" s="97"/>
      <c r="Q61" s="97"/>
      <c r="R61" s="12"/>
      <c r="S61" s="12"/>
      <c r="T61" s="13"/>
      <c r="V61" s="26"/>
    </row>
    <row r="62" spans="2:22" s="7" customFormat="1" ht="49.5" hidden="1" customHeight="1">
      <c r="B62" s="139" t="s">
        <v>131</v>
      </c>
      <c r="C62" s="85">
        <f t="shared" si="1"/>
        <v>56</v>
      </c>
      <c r="D62" s="91" t="s">
        <v>76</v>
      </c>
      <c r="E62" s="80"/>
      <c r="F62" s="80"/>
      <c r="G62" s="80"/>
      <c r="H62" s="134">
        <f t="shared" si="0"/>
        <v>0</v>
      </c>
      <c r="I62" s="115"/>
      <c r="J62" s="116"/>
      <c r="K62" s="117"/>
      <c r="L62" s="116"/>
      <c r="M62" s="118"/>
      <c r="N62" s="96"/>
      <c r="O62" s="96"/>
      <c r="P62" s="97"/>
      <c r="Q62" s="97"/>
      <c r="R62" s="12"/>
      <c r="S62" s="12"/>
      <c r="T62" s="13"/>
      <c r="V62" s="26"/>
    </row>
    <row r="63" spans="2:22" s="7" customFormat="1" ht="49.5" hidden="1" customHeight="1">
      <c r="B63" s="139" t="s">
        <v>131</v>
      </c>
      <c r="C63" s="85">
        <f t="shared" si="1"/>
        <v>57</v>
      </c>
      <c r="D63" s="91" t="s">
        <v>76</v>
      </c>
      <c r="E63" s="80"/>
      <c r="F63" s="80"/>
      <c r="G63" s="80"/>
      <c r="H63" s="134">
        <f t="shared" si="0"/>
        <v>0</v>
      </c>
      <c r="I63" s="115"/>
      <c r="J63" s="116"/>
      <c r="K63" s="117"/>
      <c r="L63" s="116"/>
      <c r="M63" s="118"/>
      <c r="N63" s="96"/>
      <c r="O63" s="96"/>
      <c r="P63" s="97"/>
      <c r="Q63" s="97"/>
      <c r="R63" s="12"/>
      <c r="S63" s="12"/>
      <c r="T63" s="13"/>
      <c r="V63" s="26"/>
    </row>
    <row r="64" spans="2:22" s="7" customFormat="1" ht="49.5" hidden="1" customHeight="1">
      <c r="B64" s="139" t="s">
        <v>131</v>
      </c>
      <c r="C64" s="85">
        <f t="shared" si="1"/>
        <v>58</v>
      </c>
      <c r="D64" s="91" t="s">
        <v>76</v>
      </c>
      <c r="E64" s="80"/>
      <c r="F64" s="80"/>
      <c r="G64" s="80"/>
      <c r="H64" s="134">
        <f t="shared" si="0"/>
        <v>0</v>
      </c>
      <c r="I64" s="115"/>
      <c r="J64" s="116"/>
      <c r="K64" s="117"/>
      <c r="L64" s="116"/>
      <c r="M64" s="118"/>
      <c r="N64" s="96"/>
      <c r="O64" s="96"/>
      <c r="P64" s="97"/>
      <c r="Q64" s="97"/>
      <c r="R64" s="12"/>
      <c r="S64" s="12"/>
      <c r="T64" s="13"/>
      <c r="V64" s="26"/>
    </row>
    <row r="65" spans="2:22" s="7" customFormat="1" ht="49.5" hidden="1" customHeight="1">
      <c r="B65" s="139" t="s">
        <v>131</v>
      </c>
      <c r="C65" s="85">
        <f t="shared" si="1"/>
        <v>59</v>
      </c>
      <c r="D65" s="91" t="s">
        <v>76</v>
      </c>
      <c r="E65" s="80"/>
      <c r="F65" s="80"/>
      <c r="G65" s="80"/>
      <c r="H65" s="134">
        <f t="shared" si="0"/>
        <v>0</v>
      </c>
      <c r="I65" s="115"/>
      <c r="J65" s="116"/>
      <c r="K65" s="117"/>
      <c r="L65" s="116"/>
      <c r="M65" s="118"/>
      <c r="N65" s="96"/>
      <c r="O65" s="96"/>
      <c r="P65" s="97"/>
      <c r="Q65" s="97"/>
      <c r="R65" s="10"/>
      <c r="S65" s="10"/>
      <c r="T65" s="11"/>
      <c r="V65" s="26"/>
    </row>
    <row r="66" spans="2:22" s="7" customFormat="1" ht="49.5" hidden="1" customHeight="1" thickBot="1">
      <c r="B66" s="140" t="s">
        <v>131</v>
      </c>
      <c r="C66" s="83">
        <f t="shared" si="1"/>
        <v>60</v>
      </c>
      <c r="D66" s="29" t="s">
        <v>76</v>
      </c>
      <c r="E66" s="82"/>
      <c r="F66" s="82"/>
      <c r="G66" s="82"/>
      <c r="H66" s="135">
        <f t="shared" si="0"/>
        <v>0</v>
      </c>
      <c r="I66" s="119"/>
      <c r="J66" s="120"/>
      <c r="K66" s="121"/>
      <c r="L66" s="120"/>
      <c r="M66" s="122"/>
      <c r="N66" s="98"/>
      <c r="O66" s="98"/>
      <c r="P66" s="99"/>
      <c r="Q66" s="99"/>
      <c r="R66" s="12"/>
      <c r="S66" s="12"/>
      <c r="T66" s="13"/>
      <c r="V66" s="26"/>
    </row>
    <row r="67" spans="2:22" s="7" customFormat="1" ht="49.5" customHeight="1" thickTop="1" thickBot="1">
      <c r="B67" s="141" t="s">
        <v>68</v>
      </c>
      <c r="C67" s="17"/>
      <c r="D67" s="92"/>
      <c r="E67" s="137"/>
      <c r="F67" s="137"/>
      <c r="G67" s="137"/>
      <c r="H67" s="18">
        <f>SUM(H7:H66)</f>
        <v>168000</v>
      </c>
      <c r="I67" s="123"/>
      <c r="J67" s="124"/>
      <c r="K67" s="124"/>
      <c r="L67" s="124"/>
      <c r="M67" s="124"/>
      <c r="N67" s="100"/>
      <c r="O67" s="100"/>
      <c r="P67" s="101"/>
      <c r="Q67" s="101"/>
      <c r="R67" s="8"/>
      <c r="S67" s="8"/>
      <c r="T67" s="9"/>
    </row>
    <row r="68" spans="2:22" s="106" customFormat="1" ht="49.5" customHeight="1" thickTop="1" thickBot="1">
      <c r="B68" s="142" t="s">
        <v>129</v>
      </c>
      <c r="C68" s="84">
        <v>1</v>
      </c>
      <c r="D68" s="28" t="s">
        <v>69</v>
      </c>
      <c r="E68" s="79"/>
      <c r="F68" s="79"/>
      <c r="G68" s="79"/>
      <c r="H68" s="133">
        <f>IF(L68&lt;=0,I68*J68,I68*J68*L68)</f>
        <v>400000</v>
      </c>
      <c r="I68" s="110">
        <v>200000</v>
      </c>
      <c r="J68" s="111">
        <v>2</v>
      </c>
      <c r="K68" s="112" t="s">
        <v>66</v>
      </c>
      <c r="L68" s="113"/>
      <c r="M68" s="114"/>
      <c r="N68" s="94" t="s">
        <v>70</v>
      </c>
      <c r="O68" s="102" t="s">
        <v>114</v>
      </c>
      <c r="P68" s="103" t="s">
        <v>166</v>
      </c>
      <c r="Q68" s="103" t="s">
        <v>167</v>
      </c>
      <c r="R68" s="104"/>
      <c r="S68" s="104"/>
      <c r="T68" s="105"/>
      <c r="V68" s="107"/>
    </row>
    <row r="69" spans="2:22" s="7" customFormat="1" ht="49.5" hidden="1" customHeight="1">
      <c r="B69" s="139" t="s">
        <v>129</v>
      </c>
      <c r="C69" s="85">
        <f>C68+1</f>
        <v>2</v>
      </c>
      <c r="D69" s="91" t="s">
        <v>69</v>
      </c>
      <c r="E69" s="80"/>
      <c r="F69" s="80"/>
      <c r="G69" s="80"/>
      <c r="H69" s="134">
        <f t="shared" ref="H69:H97" si="3">IF(L69&lt;=0,I69*J69,I69*J69*L69)</f>
        <v>0</v>
      </c>
      <c r="I69" s="115"/>
      <c r="J69" s="116"/>
      <c r="K69" s="117"/>
      <c r="L69" s="116"/>
      <c r="M69" s="118"/>
      <c r="N69" s="96"/>
      <c r="O69" s="96"/>
      <c r="P69" s="97"/>
      <c r="Q69" s="97"/>
      <c r="R69" s="10"/>
      <c r="S69" s="10"/>
      <c r="T69" s="11"/>
      <c r="V69" s="26"/>
    </row>
    <row r="70" spans="2:22" s="7" customFormat="1" ht="49.5" hidden="1" customHeight="1">
      <c r="B70" s="139" t="s">
        <v>129</v>
      </c>
      <c r="C70" s="85">
        <f t="shared" ref="C70:C97" si="4">C69+1</f>
        <v>3</v>
      </c>
      <c r="D70" s="91" t="s">
        <v>69</v>
      </c>
      <c r="E70" s="80"/>
      <c r="F70" s="80"/>
      <c r="G70" s="80"/>
      <c r="H70" s="134">
        <f t="shared" si="3"/>
        <v>0</v>
      </c>
      <c r="I70" s="115"/>
      <c r="J70" s="116"/>
      <c r="K70" s="117"/>
      <c r="L70" s="116"/>
      <c r="M70" s="118"/>
      <c r="N70" s="96"/>
      <c r="O70" s="96"/>
      <c r="P70" s="97"/>
      <c r="Q70" s="97"/>
      <c r="R70" s="12"/>
      <c r="S70" s="12"/>
      <c r="T70" s="13"/>
      <c r="V70" s="26"/>
    </row>
    <row r="71" spans="2:22" s="7" customFormat="1" ht="49.5" hidden="1" customHeight="1">
      <c r="B71" s="139" t="s">
        <v>129</v>
      </c>
      <c r="C71" s="85">
        <f t="shared" si="4"/>
        <v>4</v>
      </c>
      <c r="D71" s="91" t="s">
        <v>69</v>
      </c>
      <c r="E71" s="80"/>
      <c r="F71" s="80"/>
      <c r="G71" s="80"/>
      <c r="H71" s="134">
        <f t="shared" si="3"/>
        <v>0</v>
      </c>
      <c r="I71" s="115"/>
      <c r="J71" s="116"/>
      <c r="K71" s="117"/>
      <c r="L71" s="116"/>
      <c r="M71" s="118"/>
      <c r="N71" s="96"/>
      <c r="O71" s="96"/>
      <c r="P71" s="97"/>
      <c r="Q71" s="97"/>
      <c r="R71" s="12"/>
      <c r="S71" s="12"/>
      <c r="T71" s="13"/>
      <c r="V71" s="26"/>
    </row>
    <row r="72" spans="2:22" s="7" customFormat="1" ht="49.5" hidden="1" customHeight="1">
      <c r="B72" s="139" t="s">
        <v>129</v>
      </c>
      <c r="C72" s="85">
        <f t="shared" si="4"/>
        <v>5</v>
      </c>
      <c r="D72" s="91" t="s">
        <v>69</v>
      </c>
      <c r="E72" s="80"/>
      <c r="F72" s="80"/>
      <c r="G72" s="80"/>
      <c r="H72" s="134">
        <f t="shared" si="3"/>
        <v>0</v>
      </c>
      <c r="I72" s="115"/>
      <c r="J72" s="116"/>
      <c r="K72" s="117"/>
      <c r="L72" s="116"/>
      <c r="M72" s="118"/>
      <c r="N72" s="96"/>
      <c r="O72" s="96"/>
      <c r="P72" s="97"/>
      <c r="Q72" s="97"/>
      <c r="R72" s="12"/>
      <c r="S72" s="12"/>
      <c r="T72" s="13"/>
      <c r="V72" s="26"/>
    </row>
    <row r="73" spans="2:22" s="7" customFormat="1" ht="49.5" hidden="1" customHeight="1">
      <c r="B73" s="139" t="s">
        <v>129</v>
      </c>
      <c r="C73" s="85">
        <f t="shared" si="4"/>
        <v>6</v>
      </c>
      <c r="D73" s="91" t="s">
        <v>69</v>
      </c>
      <c r="E73" s="80"/>
      <c r="F73" s="80"/>
      <c r="G73" s="80"/>
      <c r="H73" s="134">
        <f t="shared" si="3"/>
        <v>0</v>
      </c>
      <c r="I73" s="115"/>
      <c r="J73" s="116"/>
      <c r="K73" s="117"/>
      <c r="L73" s="116"/>
      <c r="M73" s="118"/>
      <c r="N73" s="96"/>
      <c r="O73" s="96"/>
      <c r="P73" s="97"/>
      <c r="Q73" s="97"/>
      <c r="R73" s="12"/>
      <c r="S73" s="12"/>
      <c r="T73" s="13"/>
      <c r="V73" s="26"/>
    </row>
    <row r="74" spans="2:22" s="7" customFormat="1" ht="49.5" hidden="1" customHeight="1">
      <c r="B74" s="139" t="s">
        <v>129</v>
      </c>
      <c r="C74" s="85">
        <f t="shared" si="4"/>
        <v>7</v>
      </c>
      <c r="D74" s="91" t="s">
        <v>69</v>
      </c>
      <c r="E74" s="80"/>
      <c r="F74" s="80"/>
      <c r="G74" s="80"/>
      <c r="H74" s="134">
        <f t="shared" si="3"/>
        <v>0</v>
      </c>
      <c r="I74" s="115"/>
      <c r="J74" s="116"/>
      <c r="K74" s="117"/>
      <c r="L74" s="116"/>
      <c r="M74" s="118"/>
      <c r="N74" s="96"/>
      <c r="O74" s="96"/>
      <c r="P74" s="97"/>
      <c r="Q74" s="97"/>
      <c r="R74" s="10"/>
      <c r="S74" s="10"/>
      <c r="T74" s="11"/>
      <c r="V74" s="26"/>
    </row>
    <row r="75" spans="2:22" s="7" customFormat="1" ht="49.5" hidden="1" customHeight="1">
      <c r="B75" s="139" t="s">
        <v>129</v>
      </c>
      <c r="C75" s="85">
        <f t="shared" si="4"/>
        <v>8</v>
      </c>
      <c r="D75" s="91" t="s">
        <v>69</v>
      </c>
      <c r="E75" s="80"/>
      <c r="F75" s="80"/>
      <c r="G75" s="80"/>
      <c r="H75" s="134">
        <f t="shared" si="3"/>
        <v>0</v>
      </c>
      <c r="I75" s="115"/>
      <c r="J75" s="116"/>
      <c r="K75" s="117"/>
      <c r="L75" s="116"/>
      <c r="M75" s="118"/>
      <c r="N75" s="96"/>
      <c r="O75" s="96"/>
      <c r="P75" s="97"/>
      <c r="Q75" s="97"/>
      <c r="R75" s="12"/>
      <c r="S75" s="12"/>
      <c r="T75" s="13"/>
      <c r="V75" s="26"/>
    </row>
    <row r="76" spans="2:22" s="7" customFormat="1" ht="49.5" hidden="1" customHeight="1">
      <c r="B76" s="139" t="s">
        <v>129</v>
      </c>
      <c r="C76" s="85">
        <f t="shared" si="4"/>
        <v>9</v>
      </c>
      <c r="D76" s="91" t="s">
        <v>69</v>
      </c>
      <c r="E76" s="80"/>
      <c r="F76" s="80"/>
      <c r="G76" s="80"/>
      <c r="H76" s="134">
        <f t="shared" si="3"/>
        <v>0</v>
      </c>
      <c r="I76" s="115"/>
      <c r="J76" s="116"/>
      <c r="K76" s="117"/>
      <c r="L76" s="116"/>
      <c r="M76" s="118"/>
      <c r="N76" s="96"/>
      <c r="O76" s="96"/>
      <c r="P76" s="97"/>
      <c r="Q76" s="97"/>
      <c r="R76" s="12"/>
      <c r="S76" s="12"/>
      <c r="T76" s="13"/>
      <c r="V76" s="26"/>
    </row>
    <row r="77" spans="2:22" s="7" customFormat="1" ht="49.5" hidden="1" customHeight="1">
      <c r="B77" s="139" t="s">
        <v>129</v>
      </c>
      <c r="C77" s="85">
        <f t="shared" si="4"/>
        <v>10</v>
      </c>
      <c r="D77" s="91" t="s">
        <v>69</v>
      </c>
      <c r="E77" s="80"/>
      <c r="F77" s="80"/>
      <c r="G77" s="80"/>
      <c r="H77" s="134">
        <f t="shared" si="3"/>
        <v>0</v>
      </c>
      <c r="I77" s="115"/>
      <c r="J77" s="116"/>
      <c r="K77" s="117"/>
      <c r="L77" s="116"/>
      <c r="M77" s="118"/>
      <c r="N77" s="96"/>
      <c r="O77" s="96"/>
      <c r="P77" s="97"/>
      <c r="Q77" s="97"/>
      <c r="R77" s="12"/>
      <c r="S77" s="12"/>
      <c r="T77" s="13"/>
      <c r="V77" s="26"/>
    </row>
    <row r="78" spans="2:22" s="7" customFormat="1" ht="49.5" hidden="1" customHeight="1">
      <c r="B78" s="139" t="s">
        <v>129</v>
      </c>
      <c r="C78" s="85">
        <f t="shared" si="4"/>
        <v>11</v>
      </c>
      <c r="D78" s="91" t="s">
        <v>69</v>
      </c>
      <c r="E78" s="80"/>
      <c r="F78" s="80"/>
      <c r="G78" s="80"/>
      <c r="H78" s="134">
        <f t="shared" si="3"/>
        <v>0</v>
      </c>
      <c r="I78" s="115"/>
      <c r="J78" s="116"/>
      <c r="K78" s="117"/>
      <c r="L78" s="116"/>
      <c r="M78" s="118"/>
      <c r="N78" s="96"/>
      <c r="O78" s="96"/>
      <c r="P78" s="97"/>
      <c r="Q78" s="97"/>
      <c r="R78" s="12"/>
      <c r="S78" s="12"/>
      <c r="T78" s="13"/>
      <c r="V78" s="26"/>
    </row>
    <row r="79" spans="2:22" s="7" customFormat="1" ht="49.5" hidden="1" customHeight="1">
      <c r="B79" s="139" t="s">
        <v>129</v>
      </c>
      <c r="C79" s="85">
        <f t="shared" si="4"/>
        <v>12</v>
      </c>
      <c r="D79" s="91" t="s">
        <v>69</v>
      </c>
      <c r="E79" s="80"/>
      <c r="F79" s="80"/>
      <c r="G79" s="80"/>
      <c r="H79" s="134">
        <f t="shared" si="3"/>
        <v>0</v>
      </c>
      <c r="I79" s="115"/>
      <c r="J79" s="116"/>
      <c r="K79" s="117"/>
      <c r="L79" s="116"/>
      <c r="M79" s="118"/>
      <c r="N79" s="96"/>
      <c r="O79" s="96"/>
      <c r="P79" s="97"/>
      <c r="Q79" s="97"/>
      <c r="R79" s="12"/>
      <c r="S79" s="12"/>
      <c r="T79" s="13"/>
      <c r="V79" s="26"/>
    </row>
    <row r="80" spans="2:22" s="7" customFormat="1" ht="49.5" hidden="1" customHeight="1">
      <c r="B80" s="139" t="s">
        <v>129</v>
      </c>
      <c r="C80" s="85">
        <f t="shared" si="4"/>
        <v>13</v>
      </c>
      <c r="D80" s="91" t="s">
        <v>69</v>
      </c>
      <c r="E80" s="80"/>
      <c r="F80" s="80"/>
      <c r="G80" s="80"/>
      <c r="H80" s="134">
        <f t="shared" si="3"/>
        <v>0</v>
      </c>
      <c r="I80" s="115"/>
      <c r="J80" s="116"/>
      <c r="K80" s="117"/>
      <c r="L80" s="116"/>
      <c r="M80" s="118"/>
      <c r="N80" s="96"/>
      <c r="O80" s="96"/>
      <c r="P80" s="97"/>
      <c r="Q80" s="97"/>
      <c r="R80" s="10"/>
      <c r="S80" s="10"/>
      <c r="T80" s="11"/>
      <c r="V80" s="26"/>
    </row>
    <row r="81" spans="2:22" s="7" customFormat="1" ht="49.5" hidden="1" customHeight="1">
      <c r="B81" s="139" t="s">
        <v>129</v>
      </c>
      <c r="C81" s="85">
        <f t="shared" si="4"/>
        <v>14</v>
      </c>
      <c r="D81" s="91" t="s">
        <v>69</v>
      </c>
      <c r="E81" s="80"/>
      <c r="F81" s="80"/>
      <c r="G81" s="80"/>
      <c r="H81" s="134">
        <f t="shared" si="3"/>
        <v>0</v>
      </c>
      <c r="I81" s="115"/>
      <c r="J81" s="116"/>
      <c r="K81" s="117"/>
      <c r="L81" s="116"/>
      <c r="M81" s="118"/>
      <c r="N81" s="96"/>
      <c r="O81" s="96"/>
      <c r="P81" s="97"/>
      <c r="Q81" s="97"/>
      <c r="R81" s="12"/>
      <c r="S81" s="12"/>
      <c r="T81" s="13"/>
      <c r="V81" s="26"/>
    </row>
    <row r="82" spans="2:22" s="7" customFormat="1" ht="49.5" hidden="1" customHeight="1">
      <c r="B82" s="139" t="s">
        <v>129</v>
      </c>
      <c r="C82" s="85">
        <f t="shared" si="4"/>
        <v>15</v>
      </c>
      <c r="D82" s="91" t="s">
        <v>69</v>
      </c>
      <c r="E82" s="80"/>
      <c r="F82" s="80"/>
      <c r="G82" s="80"/>
      <c r="H82" s="134">
        <f t="shared" si="3"/>
        <v>0</v>
      </c>
      <c r="I82" s="115"/>
      <c r="J82" s="116"/>
      <c r="K82" s="117"/>
      <c r="L82" s="116"/>
      <c r="M82" s="118"/>
      <c r="N82" s="96"/>
      <c r="O82" s="96"/>
      <c r="P82" s="97"/>
      <c r="Q82" s="97"/>
      <c r="R82" s="12"/>
      <c r="S82" s="12"/>
      <c r="T82" s="13"/>
      <c r="V82" s="26"/>
    </row>
    <row r="83" spans="2:22" s="7" customFormat="1" ht="49.5" hidden="1" customHeight="1">
      <c r="B83" s="139" t="s">
        <v>129</v>
      </c>
      <c r="C83" s="85">
        <f t="shared" si="4"/>
        <v>16</v>
      </c>
      <c r="D83" s="91" t="s">
        <v>69</v>
      </c>
      <c r="E83" s="80"/>
      <c r="F83" s="80"/>
      <c r="G83" s="80"/>
      <c r="H83" s="134">
        <f t="shared" si="3"/>
        <v>0</v>
      </c>
      <c r="I83" s="115"/>
      <c r="J83" s="116"/>
      <c r="K83" s="117"/>
      <c r="L83" s="116"/>
      <c r="M83" s="118"/>
      <c r="N83" s="96"/>
      <c r="O83" s="96"/>
      <c r="P83" s="97"/>
      <c r="Q83" s="97"/>
      <c r="R83" s="12"/>
      <c r="S83" s="12"/>
      <c r="T83" s="13"/>
      <c r="V83" s="26"/>
    </row>
    <row r="84" spans="2:22" s="7" customFormat="1" ht="49.5" hidden="1" customHeight="1">
      <c r="B84" s="139" t="s">
        <v>129</v>
      </c>
      <c r="C84" s="85">
        <f t="shared" si="4"/>
        <v>17</v>
      </c>
      <c r="D84" s="91" t="s">
        <v>69</v>
      </c>
      <c r="E84" s="80"/>
      <c r="F84" s="80"/>
      <c r="G84" s="80"/>
      <c r="H84" s="134">
        <f t="shared" si="3"/>
        <v>0</v>
      </c>
      <c r="I84" s="115"/>
      <c r="J84" s="116"/>
      <c r="K84" s="117"/>
      <c r="L84" s="116"/>
      <c r="M84" s="118"/>
      <c r="N84" s="96"/>
      <c r="O84" s="96"/>
      <c r="P84" s="97"/>
      <c r="Q84" s="97"/>
      <c r="R84" s="12"/>
      <c r="S84" s="12"/>
      <c r="T84" s="13"/>
      <c r="V84" s="26"/>
    </row>
    <row r="85" spans="2:22" s="7" customFormat="1" ht="49.5" hidden="1" customHeight="1">
      <c r="B85" s="139" t="s">
        <v>129</v>
      </c>
      <c r="C85" s="85">
        <f t="shared" si="4"/>
        <v>18</v>
      </c>
      <c r="D85" s="91" t="s">
        <v>69</v>
      </c>
      <c r="E85" s="80"/>
      <c r="F85" s="80"/>
      <c r="G85" s="80"/>
      <c r="H85" s="134">
        <f t="shared" si="3"/>
        <v>0</v>
      </c>
      <c r="I85" s="115"/>
      <c r="J85" s="116"/>
      <c r="K85" s="117"/>
      <c r="L85" s="116"/>
      <c r="M85" s="118"/>
      <c r="N85" s="96"/>
      <c r="O85" s="96"/>
      <c r="P85" s="97"/>
      <c r="Q85" s="97"/>
      <c r="R85" s="10"/>
      <c r="S85" s="10"/>
      <c r="T85" s="11"/>
      <c r="V85" s="26"/>
    </row>
    <row r="86" spans="2:22" s="7" customFormat="1" ht="49.5" hidden="1" customHeight="1">
      <c r="B86" s="139" t="s">
        <v>129</v>
      </c>
      <c r="C86" s="85">
        <f t="shared" si="4"/>
        <v>19</v>
      </c>
      <c r="D86" s="91" t="s">
        <v>69</v>
      </c>
      <c r="E86" s="80"/>
      <c r="F86" s="80"/>
      <c r="G86" s="80"/>
      <c r="H86" s="134">
        <f t="shared" si="3"/>
        <v>0</v>
      </c>
      <c r="I86" s="115"/>
      <c r="J86" s="116"/>
      <c r="K86" s="117"/>
      <c r="L86" s="116"/>
      <c r="M86" s="118"/>
      <c r="N86" s="96"/>
      <c r="O86" s="96"/>
      <c r="P86" s="97"/>
      <c r="Q86" s="97"/>
      <c r="R86" s="12"/>
      <c r="S86" s="12"/>
      <c r="T86" s="13"/>
      <c r="V86" s="26"/>
    </row>
    <row r="87" spans="2:22" s="7" customFormat="1" ht="49.5" hidden="1" customHeight="1">
      <c r="B87" s="139" t="s">
        <v>129</v>
      </c>
      <c r="C87" s="85">
        <f t="shared" si="4"/>
        <v>20</v>
      </c>
      <c r="D87" s="91" t="s">
        <v>69</v>
      </c>
      <c r="E87" s="80"/>
      <c r="F87" s="80"/>
      <c r="G87" s="80"/>
      <c r="H87" s="134">
        <f t="shared" si="3"/>
        <v>0</v>
      </c>
      <c r="I87" s="115"/>
      <c r="J87" s="116"/>
      <c r="K87" s="117"/>
      <c r="L87" s="116"/>
      <c r="M87" s="118"/>
      <c r="N87" s="96"/>
      <c r="O87" s="96"/>
      <c r="P87" s="97"/>
      <c r="Q87" s="97"/>
      <c r="R87" s="12"/>
      <c r="S87" s="12"/>
      <c r="T87" s="13"/>
      <c r="V87" s="26"/>
    </row>
    <row r="88" spans="2:22" s="7" customFormat="1" ht="49.5" hidden="1" customHeight="1">
      <c r="B88" s="139" t="s">
        <v>129</v>
      </c>
      <c r="C88" s="85">
        <f>C87+1</f>
        <v>21</v>
      </c>
      <c r="D88" s="91" t="s">
        <v>69</v>
      </c>
      <c r="E88" s="80"/>
      <c r="F88" s="80"/>
      <c r="G88" s="80"/>
      <c r="H88" s="134">
        <f t="shared" si="3"/>
        <v>0</v>
      </c>
      <c r="I88" s="115"/>
      <c r="J88" s="116"/>
      <c r="K88" s="117"/>
      <c r="L88" s="116"/>
      <c r="M88" s="118"/>
      <c r="N88" s="96"/>
      <c r="O88" s="96"/>
      <c r="P88" s="97"/>
      <c r="Q88" s="97"/>
      <c r="R88" s="12"/>
      <c r="S88" s="12"/>
      <c r="T88" s="13"/>
      <c r="V88" s="26"/>
    </row>
    <row r="89" spans="2:22" s="7" customFormat="1" ht="49.5" hidden="1" customHeight="1">
      <c r="B89" s="139" t="s">
        <v>129</v>
      </c>
      <c r="C89" s="85">
        <f t="shared" si="4"/>
        <v>22</v>
      </c>
      <c r="D89" s="91" t="s">
        <v>69</v>
      </c>
      <c r="E89" s="80"/>
      <c r="F89" s="80"/>
      <c r="G89" s="80"/>
      <c r="H89" s="134">
        <f t="shared" si="3"/>
        <v>0</v>
      </c>
      <c r="I89" s="115"/>
      <c r="J89" s="116"/>
      <c r="K89" s="117"/>
      <c r="L89" s="116"/>
      <c r="M89" s="118"/>
      <c r="N89" s="96"/>
      <c r="O89" s="96"/>
      <c r="P89" s="97"/>
      <c r="Q89" s="97"/>
      <c r="R89" s="12"/>
      <c r="S89" s="12"/>
      <c r="T89" s="13"/>
      <c r="V89" s="26"/>
    </row>
    <row r="90" spans="2:22" s="7" customFormat="1" ht="49.5" hidden="1" customHeight="1">
      <c r="B90" s="139" t="s">
        <v>129</v>
      </c>
      <c r="C90" s="85">
        <f t="shared" si="4"/>
        <v>23</v>
      </c>
      <c r="D90" s="91" t="s">
        <v>69</v>
      </c>
      <c r="E90" s="80"/>
      <c r="F90" s="80"/>
      <c r="G90" s="80"/>
      <c r="H90" s="134">
        <f t="shared" si="3"/>
        <v>0</v>
      </c>
      <c r="I90" s="115"/>
      <c r="J90" s="116"/>
      <c r="K90" s="117"/>
      <c r="L90" s="116"/>
      <c r="M90" s="118"/>
      <c r="N90" s="96"/>
      <c r="O90" s="96"/>
      <c r="P90" s="97"/>
      <c r="Q90" s="97"/>
      <c r="R90" s="10"/>
      <c r="S90" s="10"/>
      <c r="T90" s="11"/>
      <c r="V90" s="26"/>
    </row>
    <row r="91" spans="2:22" s="7" customFormat="1" ht="49.5" hidden="1" customHeight="1">
      <c r="B91" s="139" t="s">
        <v>129</v>
      </c>
      <c r="C91" s="85">
        <f t="shared" si="4"/>
        <v>24</v>
      </c>
      <c r="D91" s="91" t="s">
        <v>69</v>
      </c>
      <c r="E91" s="80"/>
      <c r="F91" s="80"/>
      <c r="G91" s="80"/>
      <c r="H91" s="134">
        <f t="shared" si="3"/>
        <v>0</v>
      </c>
      <c r="I91" s="115"/>
      <c r="J91" s="116"/>
      <c r="K91" s="117"/>
      <c r="L91" s="116"/>
      <c r="M91" s="118"/>
      <c r="N91" s="96"/>
      <c r="O91" s="96"/>
      <c r="P91" s="97"/>
      <c r="Q91" s="97"/>
      <c r="R91" s="12"/>
      <c r="S91" s="12"/>
      <c r="T91" s="13"/>
      <c r="V91" s="26"/>
    </row>
    <row r="92" spans="2:22" s="7" customFormat="1" ht="49.5" hidden="1" customHeight="1">
      <c r="B92" s="139" t="s">
        <v>129</v>
      </c>
      <c r="C92" s="85">
        <f t="shared" si="4"/>
        <v>25</v>
      </c>
      <c r="D92" s="91" t="s">
        <v>69</v>
      </c>
      <c r="E92" s="80"/>
      <c r="F92" s="80"/>
      <c r="G92" s="80"/>
      <c r="H92" s="134">
        <f t="shared" si="3"/>
        <v>0</v>
      </c>
      <c r="I92" s="115"/>
      <c r="J92" s="116"/>
      <c r="K92" s="117"/>
      <c r="L92" s="116"/>
      <c r="M92" s="118"/>
      <c r="N92" s="96"/>
      <c r="O92" s="96"/>
      <c r="P92" s="97"/>
      <c r="Q92" s="97"/>
      <c r="R92" s="12"/>
      <c r="S92" s="12"/>
      <c r="T92" s="13"/>
      <c r="V92" s="26"/>
    </row>
    <row r="93" spans="2:22" s="7" customFormat="1" ht="49.5" hidden="1" customHeight="1">
      <c r="B93" s="139" t="s">
        <v>129</v>
      </c>
      <c r="C93" s="85">
        <f t="shared" si="4"/>
        <v>26</v>
      </c>
      <c r="D93" s="91" t="s">
        <v>69</v>
      </c>
      <c r="E93" s="80"/>
      <c r="F93" s="80"/>
      <c r="G93" s="80"/>
      <c r="H93" s="134">
        <f t="shared" si="3"/>
        <v>0</v>
      </c>
      <c r="I93" s="115"/>
      <c r="J93" s="116"/>
      <c r="K93" s="117"/>
      <c r="L93" s="116"/>
      <c r="M93" s="118"/>
      <c r="N93" s="96"/>
      <c r="O93" s="96"/>
      <c r="P93" s="97"/>
      <c r="Q93" s="97"/>
      <c r="R93" s="12"/>
      <c r="S93" s="12"/>
      <c r="T93" s="13"/>
      <c r="V93" s="26"/>
    </row>
    <row r="94" spans="2:22" s="7" customFormat="1" ht="49.5" hidden="1" customHeight="1">
      <c r="B94" s="139" t="s">
        <v>129</v>
      </c>
      <c r="C94" s="85">
        <f t="shared" si="4"/>
        <v>27</v>
      </c>
      <c r="D94" s="91" t="s">
        <v>69</v>
      </c>
      <c r="E94" s="80"/>
      <c r="F94" s="80"/>
      <c r="G94" s="80"/>
      <c r="H94" s="134">
        <f t="shared" si="3"/>
        <v>0</v>
      </c>
      <c r="I94" s="115"/>
      <c r="J94" s="116"/>
      <c r="K94" s="117"/>
      <c r="L94" s="116"/>
      <c r="M94" s="118"/>
      <c r="N94" s="96"/>
      <c r="O94" s="96"/>
      <c r="P94" s="97"/>
      <c r="Q94" s="97"/>
      <c r="R94" s="12"/>
      <c r="S94" s="12"/>
      <c r="T94" s="13"/>
      <c r="V94" s="26"/>
    </row>
    <row r="95" spans="2:22" s="7" customFormat="1" ht="49.5" hidden="1" customHeight="1">
      <c r="B95" s="139" t="s">
        <v>129</v>
      </c>
      <c r="C95" s="85">
        <f t="shared" si="4"/>
        <v>28</v>
      </c>
      <c r="D95" s="91" t="s">
        <v>69</v>
      </c>
      <c r="E95" s="80"/>
      <c r="F95" s="80"/>
      <c r="G95" s="80"/>
      <c r="H95" s="134">
        <f t="shared" si="3"/>
        <v>0</v>
      </c>
      <c r="I95" s="115"/>
      <c r="J95" s="116"/>
      <c r="K95" s="117"/>
      <c r="L95" s="116"/>
      <c r="M95" s="118"/>
      <c r="N95" s="96"/>
      <c r="O95" s="96"/>
      <c r="P95" s="97"/>
      <c r="Q95" s="97"/>
      <c r="R95" s="12"/>
      <c r="S95" s="12"/>
      <c r="T95" s="13"/>
      <c r="V95" s="26"/>
    </row>
    <row r="96" spans="2:22" s="7" customFormat="1" ht="49.5" hidden="1" customHeight="1">
      <c r="B96" s="139" t="s">
        <v>129</v>
      </c>
      <c r="C96" s="85">
        <f t="shared" si="4"/>
        <v>29</v>
      </c>
      <c r="D96" s="91" t="s">
        <v>69</v>
      </c>
      <c r="E96" s="80"/>
      <c r="F96" s="80"/>
      <c r="G96" s="80"/>
      <c r="H96" s="134">
        <f t="shared" si="3"/>
        <v>0</v>
      </c>
      <c r="I96" s="115"/>
      <c r="J96" s="116"/>
      <c r="K96" s="117"/>
      <c r="L96" s="116"/>
      <c r="M96" s="118"/>
      <c r="N96" s="96"/>
      <c r="O96" s="96"/>
      <c r="P96" s="97"/>
      <c r="Q96" s="97"/>
      <c r="R96" s="10"/>
      <c r="S96" s="10"/>
      <c r="T96" s="11"/>
      <c r="V96" s="26"/>
    </row>
    <row r="97" spans="2:22" s="7" customFormat="1" ht="49.5" hidden="1" customHeight="1" thickBot="1">
      <c r="B97" s="140" t="s">
        <v>129</v>
      </c>
      <c r="C97" s="83">
        <f t="shared" si="4"/>
        <v>30</v>
      </c>
      <c r="D97" s="29" t="s">
        <v>69</v>
      </c>
      <c r="E97" s="82"/>
      <c r="F97" s="82"/>
      <c r="G97" s="82"/>
      <c r="H97" s="135">
        <f t="shared" si="3"/>
        <v>0</v>
      </c>
      <c r="I97" s="119"/>
      <c r="J97" s="120"/>
      <c r="K97" s="121"/>
      <c r="L97" s="120"/>
      <c r="M97" s="122"/>
      <c r="N97" s="98"/>
      <c r="O97" s="98"/>
      <c r="P97" s="99"/>
      <c r="Q97" s="99"/>
      <c r="R97" s="12"/>
      <c r="S97" s="12"/>
      <c r="T97" s="13"/>
      <c r="V97" s="26"/>
    </row>
    <row r="98" spans="2:22" s="7" customFormat="1" ht="49.5" customHeight="1" thickTop="1" thickBot="1">
      <c r="B98" s="141" t="s">
        <v>68</v>
      </c>
      <c r="C98" s="17"/>
      <c r="D98" s="92"/>
      <c r="E98" s="137"/>
      <c r="F98" s="137"/>
      <c r="G98" s="137"/>
      <c r="H98" s="18">
        <f>SUM(H68:H97)</f>
        <v>400000</v>
      </c>
      <c r="I98" s="123"/>
      <c r="J98" s="124"/>
      <c r="K98" s="124"/>
      <c r="L98" s="124"/>
      <c r="M98" s="124"/>
      <c r="N98" s="100"/>
      <c r="O98" s="100"/>
      <c r="P98" s="101"/>
      <c r="Q98" s="101"/>
      <c r="R98" s="8"/>
      <c r="S98" s="8"/>
      <c r="T98" s="9"/>
    </row>
    <row r="99" spans="2:22" s="7" customFormat="1" ht="49.5" customHeight="1" thickTop="1">
      <c r="B99" s="142" t="s">
        <v>130</v>
      </c>
      <c r="C99" s="84">
        <v>1</v>
      </c>
      <c r="D99" s="28" t="s">
        <v>69</v>
      </c>
      <c r="E99" s="79"/>
      <c r="F99" s="79"/>
      <c r="G99" s="79"/>
      <c r="H99" s="136">
        <f t="shared" ref="H99:H128" si="5">IF(L99&lt;=0,I99*J99,I99*J99*L99)</f>
        <v>220000</v>
      </c>
      <c r="I99" s="110">
        <v>22000</v>
      </c>
      <c r="J99" s="111">
        <v>10</v>
      </c>
      <c r="K99" s="112" t="s">
        <v>66</v>
      </c>
      <c r="L99" s="113"/>
      <c r="M99" s="114"/>
      <c r="N99" s="108" t="s">
        <v>71</v>
      </c>
      <c r="O99" s="94" t="s">
        <v>114</v>
      </c>
      <c r="P99" s="95" t="s">
        <v>166</v>
      </c>
      <c r="Q99" s="95" t="s">
        <v>168</v>
      </c>
      <c r="R99" s="8"/>
      <c r="S99" s="8"/>
      <c r="T99" s="9"/>
      <c r="V99" s="26"/>
    </row>
    <row r="100" spans="2:22" s="7" customFormat="1" ht="49.5" customHeight="1" thickBot="1">
      <c r="B100" s="139" t="s">
        <v>130</v>
      </c>
      <c r="C100" s="85">
        <f>C99+1</f>
        <v>2</v>
      </c>
      <c r="D100" s="91" t="s">
        <v>69</v>
      </c>
      <c r="E100" s="80"/>
      <c r="F100" s="80"/>
      <c r="G100" s="80"/>
      <c r="H100" s="134">
        <f t="shared" si="5"/>
        <v>1498000</v>
      </c>
      <c r="I100" s="115">
        <v>21400</v>
      </c>
      <c r="J100" s="116">
        <v>10</v>
      </c>
      <c r="K100" s="117" t="s">
        <v>66</v>
      </c>
      <c r="L100" s="116">
        <v>7</v>
      </c>
      <c r="M100" s="118" t="s">
        <v>72</v>
      </c>
      <c r="N100" s="96" t="s">
        <v>73</v>
      </c>
      <c r="O100" s="96" t="s">
        <v>115</v>
      </c>
      <c r="P100" s="97" t="s">
        <v>121</v>
      </c>
      <c r="Q100" s="97" t="s">
        <v>169</v>
      </c>
      <c r="R100" s="10"/>
      <c r="S100" s="10"/>
      <c r="T100" s="11"/>
      <c r="V100" s="26"/>
    </row>
    <row r="101" spans="2:22" s="7" customFormat="1" ht="49.5" hidden="1" customHeight="1">
      <c r="B101" s="139" t="s">
        <v>130</v>
      </c>
      <c r="C101" s="85">
        <f t="shared" ref="C101:C128" si="6">C100+1</f>
        <v>3</v>
      </c>
      <c r="D101" s="91" t="s">
        <v>69</v>
      </c>
      <c r="E101" s="80"/>
      <c r="F101" s="80"/>
      <c r="G101" s="80"/>
      <c r="H101" s="134">
        <f t="shared" si="5"/>
        <v>0</v>
      </c>
      <c r="I101" s="115"/>
      <c r="J101" s="116"/>
      <c r="K101" s="117"/>
      <c r="L101" s="116"/>
      <c r="M101" s="118"/>
      <c r="N101" s="96"/>
      <c r="O101" s="96"/>
      <c r="P101" s="97"/>
      <c r="Q101" s="97"/>
      <c r="R101" s="12"/>
      <c r="S101" s="12"/>
      <c r="T101" s="13"/>
      <c r="V101" s="26"/>
    </row>
    <row r="102" spans="2:22" s="7" customFormat="1" ht="49.5" hidden="1" customHeight="1">
      <c r="B102" s="139" t="s">
        <v>130</v>
      </c>
      <c r="C102" s="85">
        <f t="shared" si="6"/>
        <v>4</v>
      </c>
      <c r="D102" s="91" t="s">
        <v>69</v>
      </c>
      <c r="E102" s="80"/>
      <c r="F102" s="80"/>
      <c r="G102" s="80"/>
      <c r="H102" s="134">
        <f t="shared" si="5"/>
        <v>0</v>
      </c>
      <c r="I102" s="115"/>
      <c r="J102" s="116"/>
      <c r="K102" s="117"/>
      <c r="L102" s="116"/>
      <c r="M102" s="118"/>
      <c r="N102" s="96"/>
      <c r="O102" s="96"/>
      <c r="P102" s="97"/>
      <c r="Q102" s="97"/>
      <c r="R102" s="12"/>
      <c r="S102" s="12"/>
      <c r="T102" s="13"/>
      <c r="V102" s="26"/>
    </row>
    <row r="103" spans="2:22" s="7" customFormat="1" ht="49.5" hidden="1" customHeight="1">
      <c r="B103" s="139" t="s">
        <v>130</v>
      </c>
      <c r="C103" s="85">
        <f t="shared" si="6"/>
        <v>5</v>
      </c>
      <c r="D103" s="91" t="s">
        <v>69</v>
      </c>
      <c r="E103" s="80"/>
      <c r="F103" s="80"/>
      <c r="G103" s="80"/>
      <c r="H103" s="134">
        <f t="shared" si="5"/>
        <v>0</v>
      </c>
      <c r="I103" s="115"/>
      <c r="J103" s="116"/>
      <c r="K103" s="117"/>
      <c r="L103" s="116"/>
      <c r="M103" s="118"/>
      <c r="N103" s="96"/>
      <c r="O103" s="96"/>
      <c r="P103" s="97"/>
      <c r="Q103" s="97"/>
      <c r="R103" s="12"/>
      <c r="S103" s="12"/>
      <c r="T103" s="13"/>
      <c r="V103" s="26"/>
    </row>
    <row r="104" spans="2:22" s="7" customFormat="1" ht="49.5" hidden="1" customHeight="1">
      <c r="B104" s="139" t="s">
        <v>130</v>
      </c>
      <c r="C104" s="85">
        <f t="shared" si="6"/>
        <v>6</v>
      </c>
      <c r="D104" s="91" t="s">
        <v>69</v>
      </c>
      <c r="E104" s="80"/>
      <c r="F104" s="80"/>
      <c r="G104" s="80"/>
      <c r="H104" s="134">
        <f t="shared" si="5"/>
        <v>0</v>
      </c>
      <c r="I104" s="115"/>
      <c r="J104" s="116"/>
      <c r="K104" s="117"/>
      <c r="L104" s="116"/>
      <c r="M104" s="118"/>
      <c r="N104" s="96"/>
      <c r="O104" s="96"/>
      <c r="P104" s="97"/>
      <c r="Q104" s="97"/>
      <c r="R104" s="12"/>
      <c r="S104" s="12"/>
      <c r="T104" s="13"/>
      <c r="V104" s="26"/>
    </row>
    <row r="105" spans="2:22" s="7" customFormat="1" ht="49.5" hidden="1" customHeight="1">
      <c r="B105" s="139" t="s">
        <v>130</v>
      </c>
      <c r="C105" s="85">
        <f t="shared" si="6"/>
        <v>7</v>
      </c>
      <c r="D105" s="91" t="s">
        <v>69</v>
      </c>
      <c r="E105" s="80"/>
      <c r="F105" s="80"/>
      <c r="G105" s="80"/>
      <c r="H105" s="134">
        <f t="shared" si="5"/>
        <v>0</v>
      </c>
      <c r="I105" s="115"/>
      <c r="J105" s="116"/>
      <c r="K105" s="117"/>
      <c r="L105" s="116"/>
      <c r="M105" s="118"/>
      <c r="N105" s="96"/>
      <c r="O105" s="96"/>
      <c r="P105" s="97"/>
      <c r="Q105" s="97"/>
      <c r="R105" s="10"/>
      <c r="S105" s="10"/>
      <c r="T105" s="11"/>
      <c r="V105" s="26"/>
    </row>
    <row r="106" spans="2:22" s="7" customFormat="1" ht="49.5" hidden="1" customHeight="1">
      <c r="B106" s="139" t="s">
        <v>130</v>
      </c>
      <c r="C106" s="85">
        <f t="shared" si="6"/>
        <v>8</v>
      </c>
      <c r="D106" s="91" t="s">
        <v>69</v>
      </c>
      <c r="E106" s="80"/>
      <c r="F106" s="80"/>
      <c r="G106" s="80"/>
      <c r="H106" s="134">
        <f t="shared" si="5"/>
        <v>0</v>
      </c>
      <c r="I106" s="115"/>
      <c r="J106" s="116"/>
      <c r="K106" s="117"/>
      <c r="L106" s="116"/>
      <c r="M106" s="118"/>
      <c r="N106" s="96"/>
      <c r="O106" s="96"/>
      <c r="P106" s="97"/>
      <c r="Q106" s="97"/>
      <c r="R106" s="12"/>
      <c r="S106" s="12"/>
      <c r="T106" s="13"/>
      <c r="V106" s="26"/>
    </row>
    <row r="107" spans="2:22" s="7" customFormat="1" ht="49.5" hidden="1" customHeight="1">
      <c r="B107" s="139" t="s">
        <v>130</v>
      </c>
      <c r="C107" s="85">
        <f t="shared" si="6"/>
        <v>9</v>
      </c>
      <c r="D107" s="91" t="s">
        <v>69</v>
      </c>
      <c r="E107" s="80"/>
      <c r="F107" s="80"/>
      <c r="G107" s="80"/>
      <c r="H107" s="134">
        <f t="shared" si="5"/>
        <v>0</v>
      </c>
      <c r="I107" s="115"/>
      <c r="J107" s="116"/>
      <c r="K107" s="117"/>
      <c r="L107" s="116"/>
      <c r="M107" s="118"/>
      <c r="N107" s="96"/>
      <c r="O107" s="96"/>
      <c r="P107" s="97"/>
      <c r="Q107" s="97"/>
      <c r="R107" s="12"/>
      <c r="S107" s="12"/>
      <c r="T107" s="13"/>
      <c r="V107" s="26"/>
    </row>
    <row r="108" spans="2:22" s="7" customFormat="1" ht="49.5" hidden="1" customHeight="1">
      <c r="B108" s="139" t="s">
        <v>130</v>
      </c>
      <c r="C108" s="85">
        <f t="shared" si="6"/>
        <v>10</v>
      </c>
      <c r="D108" s="91" t="s">
        <v>69</v>
      </c>
      <c r="E108" s="80"/>
      <c r="F108" s="80"/>
      <c r="G108" s="80"/>
      <c r="H108" s="134">
        <f t="shared" si="5"/>
        <v>0</v>
      </c>
      <c r="I108" s="115"/>
      <c r="J108" s="116"/>
      <c r="K108" s="117"/>
      <c r="L108" s="116"/>
      <c r="M108" s="118"/>
      <c r="N108" s="96"/>
      <c r="O108" s="96"/>
      <c r="P108" s="97"/>
      <c r="Q108" s="97"/>
      <c r="R108" s="12"/>
      <c r="S108" s="12"/>
      <c r="T108" s="13"/>
      <c r="V108" s="26"/>
    </row>
    <row r="109" spans="2:22" s="7" customFormat="1" ht="49.5" hidden="1" customHeight="1">
      <c r="B109" s="139" t="s">
        <v>130</v>
      </c>
      <c r="C109" s="85">
        <f t="shared" si="6"/>
        <v>11</v>
      </c>
      <c r="D109" s="91" t="s">
        <v>69</v>
      </c>
      <c r="E109" s="80"/>
      <c r="F109" s="80"/>
      <c r="G109" s="80"/>
      <c r="H109" s="134">
        <f t="shared" si="5"/>
        <v>0</v>
      </c>
      <c r="I109" s="115"/>
      <c r="J109" s="116"/>
      <c r="K109" s="117"/>
      <c r="L109" s="116"/>
      <c r="M109" s="118"/>
      <c r="N109" s="96"/>
      <c r="O109" s="96"/>
      <c r="P109" s="97"/>
      <c r="Q109" s="97"/>
      <c r="R109" s="12"/>
      <c r="S109" s="12"/>
      <c r="T109" s="13"/>
      <c r="V109" s="26"/>
    </row>
    <row r="110" spans="2:22" s="7" customFormat="1" ht="49.5" hidden="1" customHeight="1">
      <c r="B110" s="139" t="s">
        <v>130</v>
      </c>
      <c r="C110" s="85">
        <f t="shared" si="6"/>
        <v>12</v>
      </c>
      <c r="D110" s="91" t="s">
        <v>69</v>
      </c>
      <c r="E110" s="80"/>
      <c r="F110" s="80"/>
      <c r="G110" s="80"/>
      <c r="H110" s="134">
        <f t="shared" si="5"/>
        <v>0</v>
      </c>
      <c r="I110" s="115"/>
      <c r="J110" s="116"/>
      <c r="K110" s="117"/>
      <c r="L110" s="116"/>
      <c r="M110" s="118"/>
      <c r="N110" s="96"/>
      <c r="O110" s="96"/>
      <c r="P110" s="97"/>
      <c r="Q110" s="97"/>
      <c r="R110" s="10"/>
      <c r="S110" s="10"/>
      <c r="T110" s="11"/>
      <c r="V110" s="26"/>
    </row>
    <row r="111" spans="2:22" s="7" customFormat="1" ht="49.5" hidden="1" customHeight="1">
      <c r="B111" s="139" t="s">
        <v>130</v>
      </c>
      <c r="C111" s="85">
        <f t="shared" si="6"/>
        <v>13</v>
      </c>
      <c r="D111" s="91" t="s">
        <v>69</v>
      </c>
      <c r="E111" s="80"/>
      <c r="F111" s="80"/>
      <c r="G111" s="80"/>
      <c r="H111" s="134">
        <f t="shared" si="5"/>
        <v>0</v>
      </c>
      <c r="I111" s="115"/>
      <c r="J111" s="116"/>
      <c r="K111" s="117"/>
      <c r="L111" s="116"/>
      <c r="M111" s="118"/>
      <c r="N111" s="96"/>
      <c r="O111" s="96"/>
      <c r="P111" s="97"/>
      <c r="Q111" s="97"/>
      <c r="R111" s="12"/>
      <c r="S111" s="12"/>
      <c r="T111" s="13"/>
      <c r="V111" s="26"/>
    </row>
    <row r="112" spans="2:22" s="7" customFormat="1" ht="49.5" hidden="1" customHeight="1">
      <c r="B112" s="139" t="s">
        <v>130</v>
      </c>
      <c r="C112" s="85">
        <f t="shared" si="6"/>
        <v>14</v>
      </c>
      <c r="D112" s="91" t="s">
        <v>69</v>
      </c>
      <c r="E112" s="80"/>
      <c r="F112" s="80"/>
      <c r="G112" s="80"/>
      <c r="H112" s="134">
        <f t="shared" si="5"/>
        <v>0</v>
      </c>
      <c r="I112" s="115"/>
      <c r="J112" s="116"/>
      <c r="K112" s="117"/>
      <c r="L112" s="116"/>
      <c r="M112" s="118"/>
      <c r="N112" s="96"/>
      <c r="O112" s="96"/>
      <c r="P112" s="97"/>
      <c r="Q112" s="97"/>
      <c r="R112" s="12"/>
      <c r="S112" s="12"/>
      <c r="T112" s="13"/>
      <c r="V112" s="26"/>
    </row>
    <row r="113" spans="2:22" s="7" customFormat="1" ht="49.5" hidden="1" customHeight="1">
      <c r="B113" s="139" t="s">
        <v>130</v>
      </c>
      <c r="C113" s="85">
        <f t="shared" si="6"/>
        <v>15</v>
      </c>
      <c r="D113" s="91" t="s">
        <v>69</v>
      </c>
      <c r="E113" s="80"/>
      <c r="F113" s="80"/>
      <c r="G113" s="80"/>
      <c r="H113" s="134">
        <f t="shared" si="5"/>
        <v>0</v>
      </c>
      <c r="I113" s="115"/>
      <c r="J113" s="116"/>
      <c r="K113" s="117"/>
      <c r="L113" s="116"/>
      <c r="M113" s="118"/>
      <c r="N113" s="96"/>
      <c r="O113" s="96"/>
      <c r="P113" s="97"/>
      <c r="Q113" s="97"/>
      <c r="R113" s="12"/>
      <c r="S113" s="12"/>
      <c r="T113" s="13"/>
      <c r="V113" s="26"/>
    </row>
    <row r="114" spans="2:22" s="7" customFormat="1" ht="49.5" hidden="1" customHeight="1">
      <c r="B114" s="139" t="s">
        <v>130</v>
      </c>
      <c r="C114" s="85">
        <f t="shared" si="6"/>
        <v>16</v>
      </c>
      <c r="D114" s="91" t="s">
        <v>69</v>
      </c>
      <c r="E114" s="80"/>
      <c r="F114" s="80"/>
      <c r="G114" s="80"/>
      <c r="H114" s="134">
        <f t="shared" si="5"/>
        <v>0</v>
      </c>
      <c r="I114" s="115"/>
      <c r="J114" s="116"/>
      <c r="K114" s="117"/>
      <c r="L114" s="116"/>
      <c r="M114" s="118"/>
      <c r="N114" s="96"/>
      <c r="O114" s="96"/>
      <c r="P114" s="97"/>
      <c r="Q114" s="97"/>
      <c r="R114" s="12"/>
      <c r="S114" s="12"/>
      <c r="T114" s="13"/>
      <c r="V114" s="26"/>
    </row>
    <row r="115" spans="2:22" s="7" customFormat="1" ht="49.5" hidden="1" customHeight="1">
      <c r="B115" s="139" t="s">
        <v>130</v>
      </c>
      <c r="C115" s="85">
        <f t="shared" si="6"/>
        <v>17</v>
      </c>
      <c r="D115" s="91" t="s">
        <v>69</v>
      </c>
      <c r="E115" s="80"/>
      <c r="F115" s="80"/>
      <c r="G115" s="80"/>
      <c r="H115" s="134">
        <f t="shared" si="5"/>
        <v>0</v>
      </c>
      <c r="I115" s="115"/>
      <c r="J115" s="116"/>
      <c r="K115" s="117"/>
      <c r="L115" s="116"/>
      <c r="M115" s="118"/>
      <c r="N115" s="96"/>
      <c r="O115" s="96"/>
      <c r="P115" s="97"/>
      <c r="Q115" s="97"/>
      <c r="R115" s="10"/>
      <c r="S115" s="10"/>
      <c r="T115" s="11"/>
      <c r="V115" s="26"/>
    </row>
    <row r="116" spans="2:22" s="7" customFormat="1" ht="49.5" hidden="1" customHeight="1">
      <c r="B116" s="139" t="s">
        <v>130</v>
      </c>
      <c r="C116" s="85">
        <f t="shared" si="6"/>
        <v>18</v>
      </c>
      <c r="D116" s="91" t="s">
        <v>69</v>
      </c>
      <c r="E116" s="80"/>
      <c r="F116" s="80"/>
      <c r="G116" s="80"/>
      <c r="H116" s="134">
        <f t="shared" si="5"/>
        <v>0</v>
      </c>
      <c r="I116" s="115"/>
      <c r="J116" s="116"/>
      <c r="K116" s="117"/>
      <c r="L116" s="116"/>
      <c r="M116" s="118"/>
      <c r="N116" s="96"/>
      <c r="O116" s="96"/>
      <c r="P116" s="97"/>
      <c r="Q116" s="97"/>
      <c r="R116" s="12"/>
      <c r="S116" s="12"/>
      <c r="T116" s="13"/>
      <c r="V116" s="26"/>
    </row>
    <row r="117" spans="2:22" s="7" customFormat="1" ht="49.5" hidden="1" customHeight="1">
      <c r="B117" s="139" t="s">
        <v>130</v>
      </c>
      <c r="C117" s="85">
        <f t="shared" si="6"/>
        <v>19</v>
      </c>
      <c r="D117" s="91" t="s">
        <v>69</v>
      </c>
      <c r="E117" s="80"/>
      <c r="F117" s="80"/>
      <c r="G117" s="80"/>
      <c r="H117" s="134">
        <f t="shared" si="5"/>
        <v>0</v>
      </c>
      <c r="I117" s="115"/>
      <c r="J117" s="116"/>
      <c r="K117" s="117"/>
      <c r="L117" s="116"/>
      <c r="M117" s="118"/>
      <c r="N117" s="96"/>
      <c r="O117" s="96"/>
      <c r="P117" s="97"/>
      <c r="Q117" s="97"/>
      <c r="R117" s="12"/>
      <c r="S117" s="12"/>
      <c r="T117" s="13"/>
      <c r="V117" s="26"/>
    </row>
    <row r="118" spans="2:22" s="7" customFormat="1" ht="49.5" hidden="1" customHeight="1">
      <c r="B118" s="139" t="s">
        <v>130</v>
      </c>
      <c r="C118" s="85">
        <f t="shared" si="6"/>
        <v>20</v>
      </c>
      <c r="D118" s="91" t="s">
        <v>69</v>
      </c>
      <c r="E118" s="80"/>
      <c r="F118" s="80"/>
      <c r="G118" s="80"/>
      <c r="H118" s="134">
        <f t="shared" si="5"/>
        <v>0</v>
      </c>
      <c r="I118" s="115"/>
      <c r="J118" s="116"/>
      <c r="K118" s="117"/>
      <c r="L118" s="116"/>
      <c r="M118" s="118"/>
      <c r="N118" s="96"/>
      <c r="O118" s="96"/>
      <c r="P118" s="97"/>
      <c r="Q118" s="97"/>
      <c r="R118" s="12"/>
      <c r="S118" s="12"/>
      <c r="T118" s="13"/>
      <c r="V118" s="26"/>
    </row>
    <row r="119" spans="2:22" s="7" customFormat="1" ht="49.5" hidden="1" customHeight="1">
      <c r="B119" s="139" t="s">
        <v>130</v>
      </c>
      <c r="C119" s="85">
        <f t="shared" si="6"/>
        <v>21</v>
      </c>
      <c r="D119" s="91" t="s">
        <v>69</v>
      </c>
      <c r="E119" s="80"/>
      <c r="F119" s="80"/>
      <c r="G119" s="80"/>
      <c r="H119" s="134">
        <f t="shared" si="5"/>
        <v>0</v>
      </c>
      <c r="I119" s="115"/>
      <c r="J119" s="116"/>
      <c r="K119" s="117"/>
      <c r="L119" s="116"/>
      <c r="M119" s="118"/>
      <c r="N119" s="96"/>
      <c r="O119" s="96"/>
      <c r="P119" s="97"/>
      <c r="Q119" s="97"/>
      <c r="R119" s="12"/>
      <c r="S119" s="12"/>
      <c r="T119" s="13"/>
      <c r="V119" s="26"/>
    </row>
    <row r="120" spans="2:22" s="7" customFormat="1" ht="49.5" hidden="1" customHeight="1">
      <c r="B120" s="139" t="s">
        <v>130</v>
      </c>
      <c r="C120" s="85">
        <f t="shared" si="6"/>
        <v>22</v>
      </c>
      <c r="D120" s="91" t="s">
        <v>69</v>
      </c>
      <c r="E120" s="80"/>
      <c r="F120" s="80"/>
      <c r="G120" s="80"/>
      <c r="H120" s="134">
        <f t="shared" si="5"/>
        <v>0</v>
      </c>
      <c r="I120" s="115"/>
      <c r="J120" s="116"/>
      <c r="K120" s="117"/>
      <c r="L120" s="116"/>
      <c r="M120" s="118"/>
      <c r="N120" s="96"/>
      <c r="O120" s="96"/>
      <c r="P120" s="97"/>
      <c r="Q120" s="97"/>
      <c r="R120" s="10"/>
      <c r="S120" s="10"/>
      <c r="T120" s="11"/>
      <c r="V120" s="26"/>
    </row>
    <row r="121" spans="2:22" s="7" customFormat="1" ht="49.5" hidden="1" customHeight="1">
      <c r="B121" s="139" t="s">
        <v>130</v>
      </c>
      <c r="C121" s="85">
        <f t="shared" si="6"/>
        <v>23</v>
      </c>
      <c r="D121" s="91" t="s">
        <v>69</v>
      </c>
      <c r="E121" s="80"/>
      <c r="F121" s="80"/>
      <c r="G121" s="80"/>
      <c r="H121" s="134">
        <f t="shared" si="5"/>
        <v>0</v>
      </c>
      <c r="I121" s="115"/>
      <c r="J121" s="116"/>
      <c r="K121" s="117"/>
      <c r="L121" s="116"/>
      <c r="M121" s="118"/>
      <c r="N121" s="96"/>
      <c r="O121" s="96"/>
      <c r="P121" s="97"/>
      <c r="Q121" s="97"/>
      <c r="R121" s="12"/>
      <c r="S121" s="12"/>
      <c r="T121" s="13"/>
      <c r="V121" s="26"/>
    </row>
    <row r="122" spans="2:22" s="7" customFormat="1" ht="49.5" hidden="1" customHeight="1">
      <c r="B122" s="139" t="s">
        <v>130</v>
      </c>
      <c r="C122" s="85">
        <f t="shared" si="6"/>
        <v>24</v>
      </c>
      <c r="D122" s="91" t="s">
        <v>69</v>
      </c>
      <c r="E122" s="80"/>
      <c r="F122" s="80"/>
      <c r="G122" s="80"/>
      <c r="H122" s="134">
        <f t="shared" si="5"/>
        <v>0</v>
      </c>
      <c r="I122" s="115"/>
      <c r="J122" s="116"/>
      <c r="K122" s="117"/>
      <c r="L122" s="116"/>
      <c r="M122" s="118"/>
      <c r="N122" s="96"/>
      <c r="O122" s="96"/>
      <c r="P122" s="97"/>
      <c r="Q122" s="97"/>
      <c r="R122" s="12"/>
      <c r="S122" s="12"/>
      <c r="T122" s="13"/>
      <c r="V122" s="26"/>
    </row>
    <row r="123" spans="2:22" s="7" customFormat="1" ht="49.5" hidden="1" customHeight="1">
      <c r="B123" s="139" t="s">
        <v>130</v>
      </c>
      <c r="C123" s="85">
        <f t="shared" si="6"/>
        <v>25</v>
      </c>
      <c r="D123" s="91" t="s">
        <v>69</v>
      </c>
      <c r="E123" s="80"/>
      <c r="F123" s="80"/>
      <c r="G123" s="80"/>
      <c r="H123" s="134">
        <f t="shared" si="5"/>
        <v>0</v>
      </c>
      <c r="I123" s="115"/>
      <c r="J123" s="116"/>
      <c r="K123" s="117"/>
      <c r="L123" s="116"/>
      <c r="M123" s="118"/>
      <c r="N123" s="96"/>
      <c r="O123" s="96"/>
      <c r="P123" s="97"/>
      <c r="Q123" s="97"/>
      <c r="R123" s="12"/>
      <c r="S123" s="12"/>
      <c r="T123" s="13"/>
      <c r="V123" s="26"/>
    </row>
    <row r="124" spans="2:22" s="7" customFormat="1" ht="49.5" hidden="1" customHeight="1">
      <c r="B124" s="139" t="s">
        <v>130</v>
      </c>
      <c r="C124" s="85">
        <f t="shared" si="6"/>
        <v>26</v>
      </c>
      <c r="D124" s="91" t="s">
        <v>69</v>
      </c>
      <c r="E124" s="80"/>
      <c r="F124" s="80"/>
      <c r="G124" s="80"/>
      <c r="H124" s="134">
        <f t="shared" si="5"/>
        <v>0</v>
      </c>
      <c r="I124" s="115"/>
      <c r="J124" s="116"/>
      <c r="K124" s="117"/>
      <c r="L124" s="116"/>
      <c r="M124" s="118"/>
      <c r="N124" s="96"/>
      <c r="O124" s="96"/>
      <c r="P124" s="97"/>
      <c r="Q124" s="97"/>
      <c r="R124" s="12"/>
      <c r="S124" s="12"/>
      <c r="T124" s="13"/>
      <c r="V124" s="26"/>
    </row>
    <row r="125" spans="2:22" s="7" customFormat="1" ht="49.5" hidden="1" customHeight="1">
      <c r="B125" s="139" t="s">
        <v>130</v>
      </c>
      <c r="C125" s="85">
        <f t="shared" si="6"/>
        <v>27</v>
      </c>
      <c r="D125" s="91" t="s">
        <v>69</v>
      </c>
      <c r="E125" s="80"/>
      <c r="F125" s="80"/>
      <c r="G125" s="80"/>
      <c r="H125" s="134">
        <f t="shared" si="5"/>
        <v>0</v>
      </c>
      <c r="I125" s="115"/>
      <c r="J125" s="116"/>
      <c r="K125" s="117"/>
      <c r="L125" s="116"/>
      <c r="M125" s="118"/>
      <c r="N125" s="96"/>
      <c r="O125" s="96"/>
      <c r="P125" s="97"/>
      <c r="Q125" s="97"/>
      <c r="R125" s="12"/>
      <c r="S125" s="12"/>
      <c r="T125" s="13"/>
      <c r="V125" s="26"/>
    </row>
    <row r="126" spans="2:22" s="7" customFormat="1" ht="49.5" hidden="1" customHeight="1">
      <c r="B126" s="139" t="s">
        <v>130</v>
      </c>
      <c r="C126" s="85">
        <f t="shared" si="6"/>
        <v>28</v>
      </c>
      <c r="D126" s="91" t="s">
        <v>69</v>
      </c>
      <c r="E126" s="80"/>
      <c r="F126" s="80"/>
      <c r="G126" s="80"/>
      <c r="H126" s="134">
        <f t="shared" si="5"/>
        <v>0</v>
      </c>
      <c r="I126" s="115"/>
      <c r="J126" s="116"/>
      <c r="K126" s="117"/>
      <c r="L126" s="116"/>
      <c r="M126" s="118"/>
      <c r="N126" s="96"/>
      <c r="O126" s="96"/>
      <c r="P126" s="97"/>
      <c r="Q126" s="97"/>
      <c r="R126" s="12"/>
      <c r="S126" s="12"/>
      <c r="T126" s="13"/>
      <c r="V126" s="26"/>
    </row>
    <row r="127" spans="2:22" s="7" customFormat="1" ht="49.5" hidden="1" customHeight="1">
      <c r="B127" s="139" t="s">
        <v>130</v>
      </c>
      <c r="C127" s="85">
        <f t="shared" si="6"/>
        <v>29</v>
      </c>
      <c r="D127" s="91" t="s">
        <v>69</v>
      </c>
      <c r="E127" s="80"/>
      <c r="F127" s="80"/>
      <c r="G127" s="80"/>
      <c r="H127" s="134">
        <f t="shared" si="5"/>
        <v>0</v>
      </c>
      <c r="I127" s="115"/>
      <c r="J127" s="116"/>
      <c r="K127" s="117"/>
      <c r="L127" s="116"/>
      <c r="M127" s="118"/>
      <c r="N127" s="96"/>
      <c r="O127" s="96"/>
      <c r="P127" s="97"/>
      <c r="Q127" s="97"/>
      <c r="R127" s="10"/>
      <c r="S127" s="10"/>
      <c r="T127" s="11"/>
      <c r="V127" s="26"/>
    </row>
    <row r="128" spans="2:22" s="7" customFormat="1" ht="49.5" hidden="1" customHeight="1" thickBot="1">
      <c r="B128" s="140" t="s">
        <v>130</v>
      </c>
      <c r="C128" s="83">
        <f t="shared" si="6"/>
        <v>30</v>
      </c>
      <c r="D128" s="29" t="s">
        <v>69</v>
      </c>
      <c r="E128" s="82"/>
      <c r="F128" s="82"/>
      <c r="G128" s="82"/>
      <c r="H128" s="25">
        <f t="shared" si="5"/>
        <v>0</v>
      </c>
      <c r="I128" s="119"/>
      <c r="J128" s="120"/>
      <c r="K128" s="121"/>
      <c r="L128" s="120"/>
      <c r="M128" s="122"/>
      <c r="N128" s="98"/>
      <c r="O128" s="98"/>
      <c r="P128" s="99"/>
      <c r="Q128" s="99"/>
      <c r="R128" s="12"/>
      <c r="S128" s="12"/>
      <c r="T128" s="13"/>
      <c r="V128" s="26"/>
    </row>
    <row r="129" spans="2:22" s="7" customFormat="1" ht="49.5" customHeight="1" thickTop="1" thickBot="1">
      <c r="B129" s="141" t="s">
        <v>68</v>
      </c>
      <c r="C129" s="17"/>
      <c r="D129" s="92"/>
      <c r="E129" s="137"/>
      <c r="F129" s="137"/>
      <c r="G129" s="137"/>
      <c r="H129" s="18">
        <f>SUM(H99:H128)</f>
        <v>1718000</v>
      </c>
      <c r="I129" s="123"/>
      <c r="J129" s="124"/>
      <c r="K129" s="124"/>
      <c r="L129" s="124"/>
      <c r="M129" s="124"/>
      <c r="N129" s="100"/>
      <c r="O129" s="100"/>
      <c r="P129" s="101"/>
      <c r="Q129" s="101"/>
      <c r="R129" s="8"/>
      <c r="S129" s="8"/>
      <c r="T129" s="9"/>
    </row>
    <row r="130" spans="2:22" s="7" customFormat="1" ht="49.5" customHeight="1" thickTop="1" thickBot="1">
      <c r="B130" s="142" t="s">
        <v>132</v>
      </c>
      <c r="C130" s="84">
        <v>1</v>
      </c>
      <c r="D130" s="28" t="s">
        <v>76</v>
      </c>
      <c r="E130" s="79"/>
      <c r="F130" s="79"/>
      <c r="G130" s="79"/>
      <c r="H130" s="136">
        <f t="shared" ref="H130:H159" si="7">IF(L130&lt;=0,I130*J130,I130*J130*L130)</f>
        <v>700000</v>
      </c>
      <c r="I130" s="110">
        <v>50000</v>
      </c>
      <c r="J130" s="111">
        <v>14</v>
      </c>
      <c r="K130" s="112" t="s">
        <v>72</v>
      </c>
      <c r="L130" s="113">
        <v>1</v>
      </c>
      <c r="M130" s="114" t="s">
        <v>75</v>
      </c>
      <c r="N130" s="94" t="s">
        <v>77</v>
      </c>
      <c r="O130" s="94" t="s">
        <v>117</v>
      </c>
      <c r="P130" s="95" t="s">
        <v>124</v>
      </c>
      <c r="Q130" s="95" t="s">
        <v>168</v>
      </c>
      <c r="R130" s="8"/>
      <c r="S130" s="8"/>
      <c r="T130" s="9"/>
      <c r="V130" s="26"/>
    </row>
    <row r="131" spans="2:22" s="7" customFormat="1" ht="49.5" hidden="1" customHeight="1">
      <c r="B131" s="139" t="s">
        <v>132</v>
      </c>
      <c r="C131" s="85">
        <f>C130+1</f>
        <v>2</v>
      </c>
      <c r="D131" s="91" t="s">
        <v>76</v>
      </c>
      <c r="E131" s="80"/>
      <c r="F131" s="80"/>
      <c r="G131" s="80"/>
      <c r="H131" s="134">
        <f t="shared" si="7"/>
        <v>0</v>
      </c>
      <c r="I131" s="115"/>
      <c r="J131" s="116"/>
      <c r="K131" s="117"/>
      <c r="L131" s="116"/>
      <c r="M131" s="118"/>
      <c r="N131" s="96"/>
      <c r="O131" s="96"/>
      <c r="P131" s="97"/>
      <c r="Q131" s="97"/>
      <c r="R131" s="10"/>
      <c r="S131" s="10"/>
      <c r="T131" s="11"/>
      <c r="V131" s="26"/>
    </row>
    <row r="132" spans="2:22" s="7" customFormat="1" ht="49.5" hidden="1" customHeight="1">
      <c r="B132" s="139" t="s">
        <v>132</v>
      </c>
      <c r="C132" s="85">
        <f t="shared" ref="C132:C159" si="8">C131+1</f>
        <v>3</v>
      </c>
      <c r="D132" s="91" t="s">
        <v>76</v>
      </c>
      <c r="E132" s="80"/>
      <c r="F132" s="80"/>
      <c r="G132" s="80"/>
      <c r="H132" s="134">
        <f t="shared" si="7"/>
        <v>0</v>
      </c>
      <c r="I132" s="115"/>
      <c r="J132" s="116"/>
      <c r="K132" s="117"/>
      <c r="L132" s="116"/>
      <c r="M132" s="118"/>
      <c r="N132" s="96"/>
      <c r="O132" s="96"/>
      <c r="P132" s="97"/>
      <c r="Q132" s="97"/>
      <c r="R132" s="12"/>
      <c r="S132" s="12"/>
      <c r="T132" s="13"/>
      <c r="V132" s="26"/>
    </row>
    <row r="133" spans="2:22" s="7" customFormat="1" ht="49.5" hidden="1" customHeight="1">
      <c r="B133" s="139" t="s">
        <v>132</v>
      </c>
      <c r="C133" s="85">
        <f t="shared" si="8"/>
        <v>4</v>
      </c>
      <c r="D133" s="91" t="s">
        <v>76</v>
      </c>
      <c r="E133" s="80"/>
      <c r="F133" s="80"/>
      <c r="G133" s="80"/>
      <c r="H133" s="134">
        <f t="shared" si="7"/>
        <v>0</v>
      </c>
      <c r="I133" s="115"/>
      <c r="J133" s="116"/>
      <c r="K133" s="117"/>
      <c r="L133" s="116"/>
      <c r="M133" s="118"/>
      <c r="N133" s="96"/>
      <c r="O133" s="96"/>
      <c r="P133" s="97"/>
      <c r="Q133" s="97"/>
      <c r="R133" s="12"/>
      <c r="S133" s="12"/>
      <c r="T133" s="13"/>
      <c r="V133" s="26"/>
    </row>
    <row r="134" spans="2:22" s="7" customFormat="1" ht="49.5" hidden="1" customHeight="1">
      <c r="B134" s="139" t="s">
        <v>132</v>
      </c>
      <c r="C134" s="85">
        <f t="shared" si="8"/>
        <v>5</v>
      </c>
      <c r="D134" s="91" t="s">
        <v>76</v>
      </c>
      <c r="E134" s="80"/>
      <c r="F134" s="80"/>
      <c r="G134" s="80"/>
      <c r="H134" s="134">
        <f t="shared" si="7"/>
        <v>0</v>
      </c>
      <c r="I134" s="115"/>
      <c r="J134" s="116"/>
      <c r="K134" s="117"/>
      <c r="L134" s="116"/>
      <c r="M134" s="118"/>
      <c r="N134" s="96"/>
      <c r="O134" s="96"/>
      <c r="P134" s="97"/>
      <c r="Q134" s="97"/>
      <c r="R134" s="12"/>
      <c r="S134" s="12"/>
      <c r="T134" s="13"/>
      <c r="V134" s="26"/>
    </row>
    <row r="135" spans="2:22" s="7" customFormat="1" ht="49.5" hidden="1" customHeight="1">
      <c r="B135" s="139" t="s">
        <v>132</v>
      </c>
      <c r="C135" s="85">
        <f t="shared" si="8"/>
        <v>6</v>
      </c>
      <c r="D135" s="91" t="s">
        <v>76</v>
      </c>
      <c r="E135" s="80"/>
      <c r="F135" s="80"/>
      <c r="G135" s="80"/>
      <c r="H135" s="134">
        <f t="shared" si="7"/>
        <v>0</v>
      </c>
      <c r="I135" s="115"/>
      <c r="J135" s="116"/>
      <c r="K135" s="117"/>
      <c r="L135" s="116"/>
      <c r="M135" s="118"/>
      <c r="N135" s="96"/>
      <c r="O135" s="96"/>
      <c r="P135" s="97"/>
      <c r="Q135" s="97"/>
      <c r="R135" s="12"/>
      <c r="S135" s="12"/>
      <c r="T135" s="13"/>
      <c r="V135" s="26"/>
    </row>
    <row r="136" spans="2:22" s="7" customFormat="1" ht="49.5" hidden="1" customHeight="1">
      <c r="B136" s="139" t="s">
        <v>132</v>
      </c>
      <c r="C136" s="85">
        <f t="shared" si="8"/>
        <v>7</v>
      </c>
      <c r="D136" s="91" t="s">
        <v>76</v>
      </c>
      <c r="E136" s="80"/>
      <c r="F136" s="80"/>
      <c r="G136" s="80"/>
      <c r="H136" s="134">
        <f t="shared" si="7"/>
        <v>0</v>
      </c>
      <c r="I136" s="115"/>
      <c r="J136" s="116"/>
      <c r="K136" s="117"/>
      <c r="L136" s="116"/>
      <c r="M136" s="118"/>
      <c r="N136" s="96"/>
      <c r="O136" s="96"/>
      <c r="P136" s="97"/>
      <c r="Q136" s="97"/>
      <c r="R136" s="10"/>
      <c r="S136" s="10"/>
      <c r="T136" s="11"/>
      <c r="V136" s="26"/>
    </row>
    <row r="137" spans="2:22" s="7" customFormat="1" ht="49.5" hidden="1" customHeight="1">
      <c r="B137" s="139" t="s">
        <v>132</v>
      </c>
      <c r="C137" s="85">
        <f t="shared" si="8"/>
        <v>8</v>
      </c>
      <c r="D137" s="91" t="s">
        <v>76</v>
      </c>
      <c r="E137" s="80"/>
      <c r="F137" s="80"/>
      <c r="G137" s="80"/>
      <c r="H137" s="134">
        <f t="shared" si="7"/>
        <v>0</v>
      </c>
      <c r="I137" s="115"/>
      <c r="J137" s="116"/>
      <c r="K137" s="117"/>
      <c r="L137" s="116"/>
      <c r="M137" s="118"/>
      <c r="N137" s="96"/>
      <c r="O137" s="96"/>
      <c r="P137" s="97"/>
      <c r="Q137" s="97"/>
      <c r="R137" s="12"/>
      <c r="S137" s="12"/>
      <c r="T137" s="13"/>
      <c r="V137" s="26"/>
    </row>
    <row r="138" spans="2:22" s="7" customFormat="1" ht="49.5" hidden="1" customHeight="1">
      <c r="B138" s="139" t="s">
        <v>132</v>
      </c>
      <c r="C138" s="85">
        <f t="shared" si="8"/>
        <v>9</v>
      </c>
      <c r="D138" s="91" t="s">
        <v>76</v>
      </c>
      <c r="E138" s="80"/>
      <c r="F138" s="80"/>
      <c r="G138" s="80"/>
      <c r="H138" s="134">
        <f t="shared" si="7"/>
        <v>0</v>
      </c>
      <c r="I138" s="115"/>
      <c r="J138" s="116"/>
      <c r="K138" s="117"/>
      <c r="L138" s="116"/>
      <c r="M138" s="118"/>
      <c r="N138" s="96"/>
      <c r="O138" s="96"/>
      <c r="P138" s="97"/>
      <c r="Q138" s="97"/>
      <c r="R138" s="12"/>
      <c r="S138" s="12"/>
      <c r="T138" s="13"/>
      <c r="V138" s="26"/>
    </row>
    <row r="139" spans="2:22" s="7" customFormat="1" ht="49.5" hidden="1" customHeight="1">
      <c r="B139" s="139" t="s">
        <v>132</v>
      </c>
      <c r="C139" s="85">
        <f t="shared" si="8"/>
        <v>10</v>
      </c>
      <c r="D139" s="91" t="s">
        <v>76</v>
      </c>
      <c r="E139" s="80"/>
      <c r="F139" s="80"/>
      <c r="G139" s="80"/>
      <c r="H139" s="134">
        <f t="shared" si="7"/>
        <v>0</v>
      </c>
      <c r="I139" s="115"/>
      <c r="J139" s="116"/>
      <c r="K139" s="117"/>
      <c r="L139" s="116"/>
      <c r="M139" s="118"/>
      <c r="N139" s="96"/>
      <c r="O139" s="96"/>
      <c r="P139" s="97"/>
      <c r="Q139" s="97"/>
      <c r="R139" s="12"/>
      <c r="S139" s="12"/>
      <c r="T139" s="13"/>
      <c r="V139" s="26"/>
    </row>
    <row r="140" spans="2:22" s="7" customFormat="1" ht="49.5" hidden="1" customHeight="1">
      <c r="B140" s="139" t="s">
        <v>132</v>
      </c>
      <c r="C140" s="85">
        <f t="shared" si="8"/>
        <v>11</v>
      </c>
      <c r="D140" s="91" t="s">
        <v>76</v>
      </c>
      <c r="E140" s="80"/>
      <c r="F140" s="80"/>
      <c r="G140" s="80"/>
      <c r="H140" s="134">
        <f t="shared" si="7"/>
        <v>0</v>
      </c>
      <c r="I140" s="115"/>
      <c r="J140" s="116"/>
      <c r="K140" s="117"/>
      <c r="L140" s="116"/>
      <c r="M140" s="118"/>
      <c r="N140" s="96"/>
      <c r="O140" s="96"/>
      <c r="P140" s="97"/>
      <c r="Q140" s="97"/>
      <c r="R140" s="12"/>
      <c r="S140" s="12"/>
      <c r="T140" s="13"/>
      <c r="V140" s="26"/>
    </row>
    <row r="141" spans="2:22" s="7" customFormat="1" ht="49.5" hidden="1" customHeight="1">
      <c r="B141" s="139" t="s">
        <v>132</v>
      </c>
      <c r="C141" s="85">
        <f t="shared" si="8"/>
        <v>12</v>
      </c>
      <c r="D141" s="91" t="s">
        <v>76</v>
      </c>
      <c r="E141" s="80"/>
      <c r="F141" s="80"/>
      <c r="G141" s="80"/>
      <c r="H141" s="134">
        <f t="shared" si="7"/>
        <v>0</v>
      </c>
      <c r="I141" s="115"/>
      <c r="J141" s="116"/>
      <c r="K141" s="117"/>
      <c r="L141" s="116"/>
      <c r="M141" s="118"/>
      <c r="N141" s="96"/>
      <c r="O141" s="96"/>
      <c r="P141" s="97"/>
      <c r="Q141" s="97"/>
      <c r="R141" s="10"/>
      <c r="S141" s="10"/>
      <c r="T141" s="11"/>
      <c r="V141" s="26"/>
    </row>
    <row r="142" spans="2:22" s="7" customFormat="1" ht="49.5" hidden="1" customHeight="1">
      <c r="B142" s="139" t="s">
        <v>132</v>
      </c>
      <c r="C142" s="85">
        <f t="shared" si="8"/>
        <v>13</v>
      </c>
      <c r="D142" s="91" t="s">
        <v>76</v>
      </c>
      <c r="E142" s="80"/>
      <c r="F142" s="80"/>
      <c r="G142" s="80"/>
      <c r="H142" s="134">
        <f t="shared" si="7"/>
        <v>0</v>
      </c>
      <c r="I142" s="115"/>
      <c r="J142" s="116"/>
      <c r="K142" s="117"/>
      <c r="L142" s="116"/>
      <c r="M142" s="118"/>
      <c r="N142" s="96"/>
      <c r="O142" s="96"/>
      <c r="P142" s="97"/>
      <c r="Q142" s="97"/>
      <c r="R142" s="12"/>
      <c r="S142" s="12"/>
      <c r="T142" s="13"/>
      <c r="V142" s="26"/>
    </row>
    <row r="143" spans="2:22" s="7" customFormat="1" ht="49.5" hidden="1" customHeight="1">
      <c r="B143" s="139" t="s">
        <v>132</v>
      </c>
      <c r="C143" s="85">
        <f t="shared" si="8"/>
        <v>14</v>
      </c>
      <c r="D143" s="91" t="s">
        <v>76</v>
      </c>
      <c r="E143" s="80"/>
      <c r="F143" s="80"/>
      <c r="G143" s="80"/>
      <c r="H143" s="134">
        <f t="shared" si="7"/>
        <v>0</v>
      </c>
      <c r="I143" s="115"/>
      <c r="J143" s="116"/>
      <c r="K143" s="117"/>
      <c r="L143" s="116"/>
      <c r="M143" s="118"/>
      <c r="N143" s="96"/>
      <c r="O143" s="96"/>
      <c r="P143" s="97"/>
      <c r="Q143" s="97"/>
      <c r="R143" s="12"/>
      <c r="S143" s="12"/>
      <c r="T143" s="13"/>
      <c r="V143" s="26"/>
    </row>
    <row r="144" spans="2:22" s="7" customFormat="1" ht="49.5" hidden="1" customHeight="1">
      <c r="B144" s="139" t="s">
        <v>132</v>
      </c>
      <c r="C144" s="85">
        <f t="shared" si="8"/>
        <v>15</v>
      </c>
      <c r="D144" s="91" t="s">
        <v>76</v>
      </c>
      <c r="E144" s="80"/>
      <c r="F144" s="80"/>
      <c r="G144" s="80"/>
      <c r="H144" s="134">
        <f t="shared" si="7"/>
        <v>0</v>
      </c>
      <c r="I144" s="115"/>
      <c r="J144" s="116"/>
      <c r="K144" s="117"/>
      <c r="L144" s="116"/>
      <c r="M144" s="118"/>
      <c r="N144" s="96"/>
      <c r="O144" s="96"/>
      <c r="P144" s="97"/>
      <c r="Q144" s="97"/>
      <c r="R144" s="12"/>
      <c r="S144" s="12"/>
      <c r="T144" s="13"/>
      <c r="V144" s="26"/>
    </row>
    <row r="145" spans="2:22" s="7" customFormat="1" ht="49.5" hidden="1" customHeight="1">
      <c r="B145" s="139" t="s">
        <v>132</v>
      </c>
      <c r="C145" s="85">
        <f t="shared" si="8"/>
        <v>16</v>
      </c>
      <c r="D145" s="91" t="s">
        <v>76</v>
      </c>
      <c r="E145" s="80"/>
      <c r="F145" s="80"/>
      <c r="G145" s="80"/>
      <c r="H145" s="134">
        <f t="shared" si="7"/>
        <v>0</v>
      </c>
      <c r="I145" s="115"/>
      <c r="J145" s="116"/>
      <c r="K145" s="117"/>
      <c r="L145" s="116"/>
      <c r="M145" s="118"/>
      <c r="N145" s="96"/>
      <c r="O145" s="96"/>
      <c r="P145" s="97"/>
      <c r="Q145" s="97"/>
      <c r="R145" s="12"/>
      <c r="S145" s="12"/>
      <c r="T145" s="13"/>
      <c r="V145" s="26"/>
    </row>
    <row r="146" spans="2:22" s="7" customFormat="1" ht="49.5" hidden="1" customHeight="1">
      <c r="B146" s="139" t="s">
        <v>132</v>
      </c>
      <c r="C146" s="85">
        <f t="shared" si="8"/>
        <v>17</v>
      </c>
      <c r="D146" s="91" t="s">
        <v>76</v>
      </c>
      <c r="E146" s="80"/>
      <c r="F146" s="80"/>
      <c r="G146" s="80"/>
      <c r="H146" s="134">
        <f t="shared" si="7"/>
        <v>0</v>
      </c>
      <c r="I146" s="115"/>
      <c r="J146" s="116"/>
      <c r="K146" s="117"/>
      <c r="L146" s="116"/>
      <c r="M146" s="118"/>
      <c r="N146" s="96"/>
      <c r="O146" s="96"/>
      <c r="P146" s="97"/>
      <c r="Q146" s="97"/>
      <c r="R146" s="10"/>
      <c r="S146" s="10"/>
      <c r="T146" s="11"/>
      <c r="V146" s="26"/>
    </row>
    <row r="147" spans="2:22" s="7" customFormat="1" ht="49.5" hidden="1" customHeight="1">
      <c r="B147" s="139" t="s">
        <v>132</v>
      </c>
      <c r="C147" s="85">
        <f t="shared" si="8"/>
        <v>18</v>
      </c>
      <c r="D147" s="91" t="s">
        <v>76</v>
      </c>
      <c r="E147" s="80"/>
      <c r="F147" s="80"/>
      <c r="G147" s="80"/>
      <c r="H147" s="134">
        <f t="shared" si="7"/>
        <v>0</v>
      </c>
      <c r="I147" s="115"/>
      <c r="J147" s="116"/>
      <c r="K147" s="117"/>
      <c r="L147" s="116"/>
      <c r="M147" s="118"/>
      <c r="N147" s="96"/>
      <c r="O147" s="96"/>
      <c r="P147" s="97"/>
      <c r="Q147" s="97"/>
      <c r="R147" s="12"/>
      <c r="S147" s="12"/>
      <c r="T147" s="13"/>
      <c r="V147" s="26"/>
    </row>
    <row r="148" spans="2:22" s="7" customFormat="1" ht="49.5" hidden="1" customHeight="1">
      <c r="B148" s="139" t="s">
        <v>132</v>
      </c>
      <c r="C148" s="85">
        <f t="shared" si="8"/>
        <v>19</v>
      </c>
      <c r="D148" s="91" t="s">
        <v>76</v>
      </c>
      <c r="E148" s="80"/>
      <c r="F148" s="80"/>
      <c r="G148" s="80"/>
      <c r="H148" s="134">
        <f t="shared" si="7"/>
        <v>0</v>
      </c>
      <c r="I148" s="115"/>
      <c r="J148" s="116"/>
      <c r="K148" s="117"/>
      <c r="L148" s="116"/>
      <c r="M148" s="118"/>
      <c r="N148" s="96"/>
      <c r="O148" s="96"/>
      <c r="P148" s="97"/>
      <c r="Q148" s="97"/>
      <c r="R148" s="12"/>
      <c r="S148" s="12"/>
      <c r="T148" s="13"/>
      <c r="V148" s="26"/>
    </row>
    <row r="149" spans="2:22" s="7" customFormat="1" ht="49.5" hidden="1" customHeight="1">
      <c r="B149" s="139" t="s">
        <v>132</v>
      </c>
      <c r="C149" s="85">
        <f t="shared" si="8"/>
        <v>20</v>
      </c>
      <c r="D149" s="91" t="s">
        <v>76</v>
      </c>
      <c r="E149" s="80"/>
      <c r="F149" s="80"/>
      <c r="G149" s="80"/>
      <c r="H149" s="134">
        <f t="shared" si="7"/>
        <v>0</v>
      </c>
      <c r="I149" s="115"/>
      <c r="J149" s="116"/>
      <c r="K149" s="117"/>
      <c r="L149" s="116"/>
      <c r="M149" s="118"/>
      <c r="N149" s="96"/>
      <c r="O149" s="96"/>
      <c r="P149" s="97"/>
      <c r="Q149" s="97"/>
      <c r="R149" s="12"/>
      <c r="S149" s="12"/>
      <c r="T149" s="13"/>
      <c r="V149" s="26"/>
    </row>
    <row r="150" spans="2:22" s="7" customFormat="1" ht="49.5" hidden="1" customHeight="1">
      <c r="B150" s="139" t="s">
        <v>132</v>
      </c>
      <c r="C150" s="85">
        <f t="shared" si="8"/>
        <v>21</v>
      </c>
      <c r="D150" s="91" t="s">
        <v>76</v>
      </c>
      <c r="E150" s="80"/>
      <c r="F150" s="80"/>
      <c r="G150" s="80"/>
      <c r="H150" s="134">
        <f t="shared" si="7"/>
        <v>0</v>
      </c>
      <c r="I150" s="115"/>
      <c r="J150" s="116"/>
      <c r="K150" s="117"/>
      <c r="L150" s="116"/>
      <c r="M150" s="118"/>
      <c r="N150" s="96"/>
      <c r="O150" s="96"/>
      <c r="P150" s="97"/>
      <c r="Q150" s="97"/>
      <c r="R150" s="12"/>
      <c r="S150" s="12"/>
      <c r="T150" s="13"/>
      <c r="V150" s="26"/>
    </row>
    <row r="151" spans="2:22" s="7" customFormat="1" ht="49.5" hidden="1" customHeight="1">
      <c r="B151" s="139" t="s">
        <v>132</v>
      </c>
      <c r="C151" s="85">
        <f t="shared" si="8"/>
        <v>22</v>
      </c>
      <c r="D151" s="91" t="s">
        <v>76</v>
      </c>
      <c r="E151" s="80"/>
      <c r="F151" s="80"/>
      <c r="G151" s="80"/>
      <c r="H151" s="134">
        <f t="shared" si="7"/>
        <v>0</v>
      </c>
      <c r="I151" s="115"/>
      <c r="J151" s="116"/>
      <c r="K151" s="117"/>
      <c r="L151" s="116"/>
      <c r="M151" s="118"/>
      <c r="N151" s="96"/>
      <c r="O151" s="96"/>
      <c r="P151" s="97"/>
      <c r="Q151" s="97"/>
      <c r="R151" s="10"/>
      <c r="S151" s="10"/>
      <c r="T151" s="11"/>
      <c r="V151" s="26"/>
    </row>
    <row r="152" spans="2:22" s="7" customFormat="1" ht="49.5" hidden="1" customHeight="1">
      <c r="B152" s="139" t="s">
        <v>132</v>
      </c>
      <c r="C152" s="85">
        <f t="shared" si="8"/>
        <v>23</v>
      </c>
      <c r="D152" s="91" t="s">
        <v>76</v>
      </c>
      <c r="E152" s="80"/>
      <c r="F152" s="80"/>
      <c r="G152" s="80"/>
      <c r="H152" s="134">
        <f t="shared" si="7"/>
        <v>0</v>
      </c>
      <c r="I152" s="115"/>
      <c r="J152" s="116"/>
      <c r="K152" s="117"/>
      <c r="L152" s="116"/>
      <c r="M152" s="118"/>
      <c r="N152" s="96"/>
      <c r="O152" s="96"/>
      <c r="P152" s="97"/>
      <c r="Q152" s="97"/>
      <c r="R152" s="12"/>
      <c r="S152" s="12"/>
      <c r="T152" s="13"/>
      <c r="V152" s="26"/>
    </row>
    <row r="153" spans="2:22" s="7" customFormat="1" ht="49.5" hidden="1" customHeight="1">
      <c r="B153" s="139" t="s">
        <v>132</v>
      </c>
      <c r="C153" s="85">
        <f t="shared" si="8"/>
        <v>24</v>
      </c>
      <c r="D153" s="91" t="s">
        <v>76</v>
      </c>
      <c r="E153" s="80"/>
      <c r="F153" s="80"/>
      <c r="G153" s="80"/>
      <c r="H153" s="134">
        <f t="shared" si="7"/>
        <v>0</v>
      </c>
      <c r="I153" s="115"/>
      <c r="J153" s="116"/>
      <c r="K153" s="117"/>
      <c r="L153" s="116"/>
      <c r="M153" s="118"/>
      <c r="N153" s="96"/>
      <c r="O153" s="96"/>
      <c r="P153" s="97"/>
      <c r="Q153" s="97"/>
      <c r="R153" s="12"/>
      <c r="S153" s="12"/>
      <c r="T153" s="13"/>
      <c r="V153" s="26"/>
    </row>
    <row r="154" spans="2:22" s="7" customFormat="1" ht="49.5" hidden="1" customHeight="1">
      <c r="B154" s="139" t="s">
        <v>132</v>
      </c>
      <c r="C154" s="85">
        <f t="shared" si="8"/>
        <v>25</v>
      </c>
      <c r="D154" s="91" t="s">
        <v>76</v>
      </c>
      <c r="E154" s="80"/>
      <c r="F154" s="80"/>
      <c r="G154" s="80"/>
      <c r="H154" s="134">
        <f t="shared" si="7"/>
        <v>0</v>
      </c>
      <c r="I154" s="115"/>
      <c r="J154" s="116"/>
      <c r="K154" s="117"/>
      <c r="L154" s="116"/>
      <c r="M154" s="118"/>
      <c r="N154" s="96"/>
      <c r="O154" s="96"/>
      <c r="P154" s="97"/>
      <c r="Q154" s="97"/>
      <c r="R154" s="12"/>
      <c r="S154" s="12"/>
      <c r="T154" s="13"/>
      <c r="V154" s="26"/>
    </row>
    <row r="155" spans="2:22" s="7" customFormat="1" ht="49.5" hidden="1" customHeight="1">
      <c r="B155" s="139" t="s">
        <v>132</v>
      </c>
      <c r="C155" s="85">
        <f t="shared" si="8"/>
        <v>26</v>
      </c>
      <c r="D155" s="91" t="s">
        <v>76</v>
      </c>
      <c r="E155" s="80"/>
      <c r="F155" s="80"/>
      <c r="G155" s="80"/>
      <c r="H155" s="134">
        <f t="shared" si="7"/>
        <v>0</v>
      </c>
      <c r="I155" s="115"/>
      <c r="J155" s="116"/>
      <c r="K155" s="117"/>
      <c r="L155" s="116"/>
      <c r="M155" s="118"/>
      <c r="N155" s="96"/>
      <c r="O155" s="96"/>
      <c r="P155" s="97"/>
      <c r="Q155" s="97"/>
      <c r="R155" s="12"/>
      <c r="S155" s="12"/>
      <c r="T155" s="13"/>
      <c r="V155" s="26"/>
    </row>
    <row r="156" spans="2:22" s="7" customFormat="1" ht="49.5" hidden="1" customHeight="1">
      <c r="B156" s="139" t="s">
        <v>132</v>
      </c>
      <c r="C156" s="85">
        <f t="shared" si="8"/>
        <v>27</v>
      </c>
      <c r="D156" s="91" t="s">
        <v>76</v>
      </c>
      <c r="E156" s="80"/>
      <c r="F156" s="80"/>
      <c r="G156" s="80"/>
      <c r="H156" s="134">
        <f t="shared" si="7"/>
        <v>0</v>
      </c>
      <c r="I156" s="115"/>
      <c r="J156" s="116"/>
      <c r="K156" s="117"/>
      <c r="L156" s="116"/>
      <c r="M156" s="118"/>
      <c r="N156" s="96"/>
      <c r="O156" s="96"/>
      <c r="P156" s="97"/>
      <c r="Q156" s="97"/>
      <c r="R156" s="12"/>
      <c r="S156" s="12"/>
      <c r="T156" s="13"/>
      <c r="V156" s="26"/>
    </row>
    <row r="157" spans="2:22" s="7" customFormat="1" ht="49.5" hidden="1" customHeight="1">
      <c r="B157" s="139" t="s">
        <v>132</v>
      </c>
      <c r="C157" s="85">
        <f t="shared" si="8"/>
        <v>28</v>
      </c>
      <c r="D157" s="91" t="s">
        <v>76</v>
      </c>
      <c r="E157" s="80"/>
      <c r="F157" s="80"/>
      <c r="G157" s="80"/>
      <c r="H157" s="134">
        <f t="shared" si="7"/>
        <v>0</v>
      </c>
      <c r="I157" s="115"/>
      <c r="J157" s="116"/>
      <c r="K157" s="117"/>
      <c r="L157" s="116"/>
      <c r="M157" s="118"/>
      <c r="N157" s="96"/>
      <c r="O157" s="96"/>
      <c r="P157" s="97"/>
      <c r="Q157" s="97"/>
      <c r="R157" s="12"/>
      <c r="S157" s="12"/>
      <c r="T157" s="13"/>
      <c r="V157" s="26"/>
    </row>
    <row r="158" spans="2:22" s="7" customFormat="1" ht="49.5" hidden="1" customHeight="1">
      <c r="B158" s="139" t="s">
        <v>132</v>
      </c>
      <c r="C158" s="85">
        <f t="shared" si="8"/>
        <v>29</v>
      </c>
      <c r="D158" s="91" t="s">
        <v>76</v>
      </c>
      <c r="E158" s="80"/>
      <c r="F158" s="80"/>
      <c r="G158" s="80"/>
      <c r="H158" s="134">
        <f t="shared" si="7"/>
        <v>0</v>
      </c>
      <c r="I158" s="115"/>
      <c r="J158" s="116"/>
      <c r="K158" s="117"/>
      <c r="L158" s="116"/>
      <c r="M158" s="118"/>
      <c r="N158" s="96"/>
      <c r="O158" s="96"/>
      <c r="P158" s="97"/>
      <c r="Q158" s="97"/>
      <c r="R158" s="10"/>
      <c r="S158" s="10"/>
      <c r="T158" s="11"/>
      <c r="V158" s="26"/>
    </row>
    <row r="159" spans="2:22" s="7" customFormat="1" ht="49.5" hidden="1" customHeight="1" thickBot="1">
      <c r="B159" s="140" t="s">
        <v>132</v>
      </c>
      <c r="C159" s="83">
        <f t="shared" si="8"/>
        <v>30</v>
      </c>
      <c r="D159" s="29" t="s">
        <v>76</v>
      </c>
      <c r="E159" s="82"/>
      <c r="F159" s="82"/>
      <c r="G159" s="82"/>
      <c r="H159" s="25">
        <f t="shared" si="7"/>
        <v>0</v>
      </c>
      <c r="I159" s="119"/>
      <c r="J159" s="120"/>
      <c r="K159" s="121"/>
      <c r="L159" s="120"/>
      <c r="M159" s="122"/>
      <c r="N159" s="98"/>
      <c r="O159" s="98"/>
      <c r="P159" s="99"/>
      <c r="Q159" s="99"/>
      <c r="R159" s="12"/>
      <c r="S159" s="12"/>
      <c r="T159" s="13"/>
      <c r="V159" s="26"/>
    </row>
    <row r="160" spans="2:22" s="7" customFormat="1" ht="49.5" customHeight="1" thickTop="1" thickBot="1">
      <c r="B160" s="141" t="s">
        <v>68</v>
      </c>
      <c r="C160" s="17"/>
      <c r="D160" s="92"/>
      <c r="E160" s="137"/>
      <c r="F160" s="137"/>
      <c r="G160" s="137"/>
      <c r="H160" s="18">
        <f>SUM(H130:H159)</f>
        <v>700000</v>
      </c>
      <c r="I160" s="123"/>
      <c r="J160" s="124"/>
      <c r="K160" s="124"/>
      <c r="L160" s="124"/>
      <c r="M160" s="124"/>
      <c r="N160" s="100"/>
      <c r="O160" s="100"/>
      <c r="P160" s="101"/>
      <c r="Q160" s="101"/>
      <c r="R160" s="8"/>
      <c r="S160" s="8"/>
      <c r="T160" s="9"/>
    </row>
    <row r="161" spans="2:22" s="7" customFormat="1" ht="49.5" customHeight="1" thickTop="1">
      <c r="B161" s="144" t="s">
        <v>134</v>
      </c>
      <c r="C161" s="84">
        <v>1</v>
      </c>
      <c r="D161" s="28" t="s">
        <v>76</v>
      </c>
      <c r="E161" s="79"/>
      <c r="F161" s="79"/>
      <c r="G161" s="79"/>
      <c r="H161" s="136">
        <f>IF(L161&lt;=0,I161*J161,I161*J161*L161)</f>
        <v>500000</v>
      </c>
      <c r="I161" s="110">
        <v>500000</v>
      </c>
      <c r="J161" s="111">
        <v>1</v>
      </c>
      <c r="K161" s="112" t="s">
        <v>170</v>
      </c>
      <c r="L161" s="113"/>
      <c r="M161" s="114"/>
      <c r="N161" s="94" t="s">
        <v>78</v>
      </c>
      <c r="O161" s="94" t="s">
        <v>171</v>
      </c>
      <c r="P161" s="95" t="s">
        <v>123</v>
      </c>
      <c r="Q161" s="95" t="s">
        <v>80</v>
      </c>
      <c r="R161" s="8"/>
      <c r="S161" s="8"/>
      <c r="T161" s="9"/>
      <c r="V161" s="26"/>
    </row>
    <row r="162" spans="2:22" s="7" customFormat="1" ht="49.5" customHeight="1">
      <c r="B162" s="145" t="s">
        <v>134</v>
      </c>
      <c r="C162" s="85">
        <f>C161+1</f>
        <v>2</v>
      </c>
      <c r="D162" s="91" t="s">
        <v>76</v>
      </c>
      <c r="E162" s="80"/>
      <c r="F162" s="80"/>
      <c r="G162" s="80"/>
      <c r="H162" s="134">
        <f>IF(L162&lt;=0,I162*J162,I162*J162*L162)</f>
        <v>500000</v>
      </c>
      <c r="I162" s="115">
        <v>100000</v>
      </c>
      <c r="J162" s="116">
        <v>5</v>
      </c>
      <c r="K162" s="117" t="s">
        <v>79</v>
      </c>
      <c r="L162" s="116"/>
      <c r="M162" s="118"/>
      <c r="N162" s="96" t="s">
        <v>172</v>
      </c>
      <c r="O162" s="96" t="s">
        <v>171</v>
      </c>
      <c r="P162" s="97" t="s">
        <v>127</v>
      </c>
      <c r="Q162" s="97" t="s">
        <v>80</v>
      </c>
      <c r="R162" s="10"/>
      <c r="S162" s="10"/>
      <c r="T162" s="11"/>
      <c r="V162" s="26"/>
    </row>
    <row r="163" spans="2:22" s="7" customFormat="1" ht="49.5" customHeight="1">
      <c r="B163" s="145" t="s">
        <v>134</v>
      </c>
      <c r="C163" s="85">
        <f t="shared" ref="C163:C220" si="9">C162+1</f>
        <v>3</v>
      </c>
      <c r="D163" s="91" t="s">
        <v>76</v>
      </c>
      <c r="E163" s="80"/>
      <c r="F163" s="80"/>
      <c r="G163" s="80"/>
      <c r="H163" s="134">
        <f t="shared" ref="H163:H211" si="10">IF(L163&lt;=0,I163*J163,I163*J163*L163)</f>
        <v>450000</v>
      </c>
      <c r="I163" s="115">
        <v>450000</v>
      </c>
      <c r="J163" s="116">
        <v>1</v>
      </c>
      <c r="K163" s="117" t="s">
        <v>81</v>
      </c>
      <c r="L163" s="116"/>
      <c r="M163" s="118"/>
      <c r="N163" s="96" t="s">
        <v>82</v>
      </c>
      <c r="O163" s="96" t="s">
        <v>116</v>
      </c>
      <c r="P163" s="97" t="s">
        <v>121</v>
      </c>
      <c r="Q163" s="97" t="s">
        <v>103</v>
      </c>
      <c r="R163" s="12"/>
      <c r="S163" s="12"/>
      <c r="T163" s="13"/>
      <c r="V163" s="26"/>
    </row>
    <row r="164" spans="2:22" s="7" customFormat="1" ht="49.5" customHeight="1" thickBot="1">
      <c r="B164" s="145" t="s">
        <v>134</v>
      </c>
      <c r="C164" s="85">
        <f t="shared" si="9"/>
        <v>4</v>
      </c>
      <c r="D164" s="91" t="s">
        <v>76</v>
      </c>
      <c r="E164" s="80"/>
      <c r="F164" s="80"/>
      <c r="G164" s="80"/>
      <c r="H164" s="134">
        <f t="shared" si="10"/>
        <v>250000</v>
      </c>
      <c r="I164" s="115">
        <v>250000</v>
      </c>
      <c r="J164" s="116">
        <v>1</v>
      </c>
      <c r="K164" s="117" t="s">
        <v>173</v>
      </c>
      <c r="L164" s="116"/>
      <c r="M164" s="118"/>
      <c r="N164" s="96" t="s">
        <v>174</v>
      </c>
      <c r="O164" s="96" t="s">
        <v>116</v>
      </c>
      <c r="P164" s="97" t="s">
        <v>121</v>
      </c>
      <c r="Q164" s="97" t="s">
        <v>103</v>
      </c>
      <c r="R164" s="12"/>
      <c r="S164" s="12"/>
      <c r="T164" s="13"/>
      <c r="V164" s="26"/>
    </row>
    <row r="165" spans="2:22" s="7" customFormat="1" ht="49.5" hidden="1" customHeight="1">
      <c r="B165" s="145" t="s">
        <v>134</v>
      </c>
      <c r="C165" s="85">
        <f t="shared" si="9"/>
        <v>5</v>
      </c>
      <c r="D165" s="91" t="s">
        <v>76</v>
      </c>
      <c r="E165" s="80"/>
      <c r="F165" s="80"/>
      <c r="G165" s="80"/>
      <c r="H165" s="134">
        <f t="shared" si="10"/>
        <v>0</v>
      </c>
      <c r="I165" s="115"/>
      <c r="J165" s="116"/>
      <c r="K165" s="117"/>
      <c r="L165" s="116"/>
      <c r="M165" s="118"/>
      <c r="N165" s="96"/>
      <c r="O165" s="96"/>
      <c r="P165" s="97"/>
      <c r="Q165" s="97"/>
      <c r="R165" s="12"/>
      <c r="S165" s="12"/>
      <c r="T165" s="13"/>
      <c r="V165" s="26"/>
    </row>
    <row r="166" spans="2:22" s="7" customFormat="1" ht="49.5" hidden="1" customHeight="1">
      <c r="B166" s="145" t="s">
        <v>134</v>
      </c>
      <c r="C166" s="85">
        <f t="shared" si="9"/>
        <v>6</v>
      </c>
      <c r="D166" s="91" t="s">
        <v>76</v>
      </c>
      <c r="E166" s="80"/>
      <c r="F166" s="80"/>
      <c r="G166" s="80"/>
      <c r="H166" s="134">
        <f t="shared" si="10"/>
        <v>0</v>
      </c>
      <c r="I166" s="115"/>
      <c r="J166" s="116"/>
      <c r="K166" s="117"/>
      <c r="L166" s="116"/>
      <c r="M166" s="118"/>
      <c r="N166" s="96"/>
      <c r="O166" s="96"/>
      <c r="P166" s="97"/>
      <c r="Q166" s="97"/>
      <c r="R166" s="12"/>
      <c r="S166" s="12"/>
      <c r="T166" s="13"/>
      <c r="V166" s="26"/>
    </row>
    <row r="167" spans="2:22" s="7" customFormat="1" ht="49.5" hidden="1" customHeight="1">
      <c r="B167" s="145" t="s">
        <v>134</v>
      </c>
      <c r="C167" s="85">
        <f t="shared" si="9"/>
        <v>7</v>
      </c>
      <c r="D167" s="91" t="s">
        <v>76</v>
      </c>
      <c r="E167" s="80"/>
      <c r="F167" s="80"/>
      <c r="G167" s="80"/>
      <c r="H167" s="134">
        <f t="shared" si="10"/>
        <v>0</v>
      </c>
      <c r="I167" s="115"/>
      <c r="J167" s="116"/>
      <c r="K167" s="117"/>
      <c r="L167" s="116"/>
      <c r="M167" s="118"/>
      <c r="N167" s="96"/>
      <c r="O167" s="96"/>
      <c r="P167" s="97"/>
      <c r="Q167" s="97"/>
      <c r="R167" s="12"/>
      <c r="S167" s="12"/>
      <c r="T167" s="13"/>
      <c r="V167" s="26"/>
    </row>
    <row r="168" spans="2:22" s="7" customFormat="1" ht="49.5" hidden="1" customHeight="1">
      <c r="B168" s="145" t="s">
        <v>134</v>
      </c>
      <c r="C168" s="85">
        <f t="shared" si="9"/>
        <v>8</v>
      </c>
      <c r="D168" s="91" t="s">
        <v>76</v>
      </c>
      <c r="E168" s="80"/>
      <c r="F168" s="80"/>
      <c r="G168" s="80"/>
      <c r="H168" s="134">
        <f t="shared" si="10"/>
        <v>0</v>
      </c>
      <c r="I168" s="115"/>
      <c r="J168" s="116"/>
      <c r="K168" s="117"/>
      <c r="L168" s="116"/>
      <c r="M168" s="118"/>
      <c r="N168" s="96"/>
      <c r="O168" s="96"/>
      <c r="P168" s="97"/>
      <c r="Q168" s="97"/>
      <c r="R168" s="12"/>
      <c r="S168" s="12"/>
      <c r="T168" s="13"/>
      <c r="V168" s="26"/>
    </row>
    <row r="169" spans="2:22" s="7" customFormat="1" ht="49.5" hidden="1" customHeight="1">
      <c r="B169" s="145" t="s">
        <v>134</v>
      </c>
      <c r="C169" s="85">
        <f t="shared" si="9"/>
        <v>9</v>
      </c>
      <c r="D169" s="91" t="s">
        <v>76</v>
      </c>
      <c r="E169" s="80"/>
      <c r="F169" s="80"/>
      <c r="G169" s="80"/>
      <c r="H169" s="134">
        <f t="shared" si="10"/>
        <v>0</v>
      </c>
      <c r="I169" s="115"/>
      <c r="J169" s="116"/>
      <c r="K169" s="117"/>
      <c r="L169" s="116"/>
      <c r="M169" s="118"/>
      <c r="N169" s="96"/>
      <c r="O169" s="96"/>
      <c r="P169" s="97"/>
      <c r="Q169" s="97"/>
      <c r="R169" s="12"/>
      <c r="S169" s="12"/>
      <c r="T169" s="13"/>
      <c r="V169" s="26"/>
    </row>
    <row r="170" spans="2:22" s="7" customFormat="1" ht="49.5" hidden="1" customHeight="1">
      <c r="B170" s="145" t="s">
        <v>134</v>
      </c>
      <c r="C170" s="85">
        <f t="shared" si="9"/>
        <v>10</v>
      </c>
      <c r="D170" s="91" t="s">
        <v>76</v>
      </c>
      <c r="E170" s="80"/>
      <c r="F170" s="80"/>
      <c r="G170" s="80"/>
      <c r="H170" s="134">
        <f t="shared" si="10"/>
        <v>0</v>
      </c>
      <c r="I170" s="115"/>
      <c r="J170" s="116"/>
      <c r="K170" s="117"/>
      <c r="L170" s="116"/>
      <c r="M170" s="118"/>
      <c r="N170" s="96"/>
      <c r="O170" s="96"/>
      <c r="P170" s="97"/>
      <c r="Q170" s="97"/>
      <c r="R170" s="12"/>
      <c r="S170" s="12"/>
      <c r="T170" s="13"/>
      <c r="V170" s="26"/>
    </row>
    <row r="171" spans="2:22" s="7" customFormat="1" ht="49.5" hidden="1" customHeight="1">
      <c r="B171" s="145" t="s">
        <v>134</v>
      </c>
      <c r="C171" s="85">
        <f t="shared" si="9"/>
        <v>11</v>
      </c>
      <c r="D171" s="91" t="s">
        <v>76</v>
      </c>
      <c r="E171" s="80"/>
      <c r="F171" s="80"/>
      <c r="G171" s="80"/>
      <c r="H171" s="134">
        <f t="shared" si="10"/>
        <v>0</v>
      </c>
      <c r="I171" s="115"/>
      <c r="J171" s="116"/>
      <c r="K171" s="117"/>
      <c r="L171" s="116"/>
      <c r="M171" s="118"/>
      <c r="N171" s="96"/>
      <c r="O171" s="96"/>
      <c r="P171" s="97"/>
      <c r="Q171" s="97"/>
      <c r="R171" s="12"/>
      <c r="S171" s="12"/>
      <c r="T171" s="13"/>
      <c r="V171" s="26"/>
    </row>
    <row r="172" spans="2:22" s="7" customFormat="1" ht="49.5" hidden="1" customHeight="1">
      <c r="B172" s="145" t="s">
        <v>134</v>
      </c>
      <c r="C172" s="85">
        <f t="shared" si="9"/>
        <v>12</v>
      </c>
      <c r="D172" s="91" t="s">
        <v>76</v>
      </c>
      <c r="E172" s="80"/>
      <c r="F172" s="80"/>
      <c r="G172" s="80"/>
      <c r="H172" s="134">
        <f t="shared" si="10"/>
        <v>0</v>
      </c>
      <c r="I172" s="115"/>
      <c r="J172" s="116"/>
      <c r="K172" s="117"/>
      <c r="L172" s="116"/>
      <c r="M172" s="118"/>
      <c r="N172" s="96"/>
      <c r="O172" s="96"/>
      <c r="P172" s="97"/>
      <c r="Q172" s="97"/>
      <c r="R172" s="12"/>
      <c r="S172" s="12"/>
      <c r="T172" s="13"/>
      <c r="V172" s="26"/>
    </row>
    <row r="173" spans="2:22" s="7" customFormat="1" ht="49.5" hidden="1" customHeight="1">
      <c r="B173" s="145" t="s">
        <v>134</v>
      </c>
      <c r="C173" s="85">
        <f t="shared" si="9"/>
        <v>13</v>
      </c>
      <c r="D173" s="91" t="s">
        <v>76</v>
      </c>
      <c r="E173" s="80"/>
      <c r="F173" s="80"/>
      <c r="G173" s="80"/>
      <c r="H173" s="134">
        <f t="shared" si="10"/>
        <v>0</v>
      </c>
      <c r="I173" s="115"/>
      <c r="J173" s="116"/>
      <c r="K173" s="117"/>
      <c r="L173" s="116"/>
      <c r="M173" s="118"/>
      <c r="N173" s="96"/>
      <c r="O173" s="96"/>
      <c r="P173" s="97"/>
      <c r="Q173" s="97"/>
      <c r="R173" s="12"/>
      <c r="S173" s="12"/>
      <c r="T173" s="13"/>
      <c r="V173" s="26"/>
    </row>
    <row r="174" spans="2:22" s="7" customFormat="1" ht="49.5" hidden="1" customHeight="1">
      <c r="B174" s="145" t="s">
        <v>134</v>
      </c>
      <c r="C174" s="85">
        <f t="shared" si="9"/>
        <v>14</v>
      </c>
      <c r="D174" s="91" t="s">
        <v>76</v>
      </c>
      <c r="E174" s="80"/>
      <c r="F174" s="80"/>
      <c r="G174" s="80"/>
      <c r="H174" s="134">
        <f t="shared" si="10"/>
        <v>0</v>
      </c>
      <c r="I174" s="115"/>
      <c r="J174" s="116"/>
      <c r="K174" s="117"/>
      <c r="L174" s="116"/>
      <c r="M174" s="118"/>
      <c r="N174" s="96"/>
      <c r="O174" s="96"/>
      <c r="P174" s="97"/>
      <c r="Q174" s="97"/>
      <c r="R174" s="12"/>
      <c r="S174" s="12"/>
      <c r="T174" s="13"/>
      <c r="V174" s="26"/>
    </row>
    <row r="175" spans="2:22" s="7" customFormat="1" ht="49.5" hidden="1" customHeight="1">
      <c r="B175" s="145" t="s">
        <v>134</v>
      </c>
      <c r="C175" s="85">
        <f t="shared" si="9"/>
        <v>15</v>
      </c>
      <c r="D175" s="91" t="s">
        <v>76</v>
      </c>
      <c r="E175" s="80"/>
      <c r="F175" s="80"/>
      <c r="G175" s="80"/>
      <c r="H175" s="134">
        <f t="shared" si="10"/>
        <v>0</v>
      </c>
      <c r="I175" s="115"/>
      <c r="J175" s="116"/>
      <c r="K175" s="117"/>
      <c r="L175" s="116"/>
      <c r="M175" s="118"/>
      <c r="N175" s="96"/>
      <c r="O175" s="96"/>
      <c r="P175" s="97"/>
      <c r="Q175" s="97"/>
      <c r="R175" s="12"/>
      <c r="S175" s="12"/>
      <c r="T175" s="13"/>
      <c r="V175" s="26"/>
    </row>
    <row r="176" spans="2:22" s="7" customFormat="1" ht="49.5" hidden="1" customHeight="1">
      <c r="B176" s="145" t="s">
        <v>134</v>
      </c>
      <c r="C176" s="85">
        <f t="shared" si="9"/>
        <v>16</v>
      </c>
      <c r="D176" s="91" t="s">
        <v>76</v>
      </c>
      <c r="E176" s="80"/>
      <c r="F176" s="80"/>
      <c r="G176" s="80"/>
      <c r="H176" s="134">
        <f t="shared" si="10"/>
        <v>0</v>
      </c>
      <c r="I176" s="115"/>
      <c r="J176" s="116"/>
      <c r="K176" s="117"/>
      <c r="L176" s="116"/>
      <c r="M176" s="118"/>
      <c r="N176" s="96"/>
      <c r="O176" s="96"/>
      <c r="P176" s="97"/>
      <c r="Q176" s="97"/>
      <c r="R176" s="12"/>
      <c r="S176" s="12"/>
      <c r="T176" s="13"/>
      <c r="V176" s="26"/>
    </row>
    <row r="177" spans="2:22" s="7" customFormat="1" ht="49.5" hidden="1" customHeight="1">
      <c r="B177" s="145" t="s">
        <v>134</v>
      </c>
      <c r="C177" s="85">
        <f t="shared" si="9"/>
        <v>17</v>
      </c>
      <c r="D177" s="91" t="s">
        <v>76</v>
      </c>
      <c r="E177" s="80"/>
      <c r="F177" s="80"/>
      <c r="G177" s="80"/>
      <c r="H177" s="134">
        <f t="shared" si="10"/>
        <v>0</v>
      </c>
      <c r="I177" s="115"/>
      <c r="J177" s="116"/>
      <c r="K177" s="117"/>
      <c r="L177" s="116"/>
      <c r="M177" s="118"/>
      <c r="N177" s="96"/>
      <c r="O177" s="96"/>
      <c r="P177" s="97"/>
      <c r="Q177" s="97"/>
      <c r="R177" s="12"/>
      <c r="S177" s="12"/>
      <c r="T177" s="13"/>
      <c r="V177" s="26"/>
    </row>
    <row r="178" spans="2:22" s="7" customFormat="1" ht="49.5" hidden="1" customHeight="1">
      <c r="B178" s="145" t="s">
        <v>134</v>
      </c>
      <c r="C178" s="85">
        <f t="shared" si="9"/>
        <v>18</v>
      </c>
      <c r="D178" s="91" t="s">
        <v>76</v>
      </c>
      <c r="E178" s="80"/>
      <c r="F178" s="80"/>
      <c r="G178" s="80"/>
      <c r="H178" s="134">
        <f t="shared" si="10"/>
        <v>0</v>
      </c>
      <c r="I178" s="115"/>
      <c r="J178" s="116"/>
      <c r="K178" s="117"/>
      <c r="L178" s="116"/>
      <c r="M178" s="118"/>
      <c r="N178" s="96"/>
      <c r="O178" s="96"/>
      <c r="P178" s="97"/>
      <c r="Q178" s="97"/>
      <c r="R178" s="12"/>
      <c r="S178" s="12"/>
      <c r="T178" s="13"/>
      <c r="V178" s="26"/>
    </row>
    <row r="179" spans="2:22" s="7" customFormat="1" ht="49.5" hidden="1" customHeight="1">
      <c r="B179" s="145" t="s">
        <v>134</v>
      </c>
      <c r="C179" s="85">
        <f t="shared" si="9"/>
        <v>19</v>
      </c>
      <c r="D179" s="91" t="s">
        <v>76</v>
      </c>
      <c r="E179" s="80"/>
      <c r="F179" s="80"/>
      <c r="G179" s="80"/>
      <c r="H179" s="134">
        <f t="shared" si="10"/>
        <v>0</v>
      </c>
      <c r="I179" s="115"/>
      <c r="J179" s="116"/>
      <c r="K179" s="117"/>
      <c r="L179" s="116"/>
      <c r="M179" s="118"/>
      <c r="N179" s="96"/>
      <c r="O179" s="96"/>
      <c r="P179" s="97"/>
      <c r="Q179" s="97"/>
      <c r="R179" s="12"/>
      <c r="S179" s="12"/>
      <c r="T179" s="13"/>
      <c r="V179" s="26"/>
    </row>
    <row r="180" spans="2:22" s="7" customFormat="1" ht="49.5" hidden="1" customHeight="1">
      <c r="B180" s="145" t="s">
        <v>134</v>
      </c>
      <c r="C180" s="85">
        <f t="shared" si="9"/>
        <v>20</v>
      </c>
      <c r="D180" s="91" t="s">
        <v>76</v>
      </c>
      <c r="E180" s="80"/>
      <c r="F180" s="80"/>
      <c r="G180" s="80"/>
      <c r="H180" s="134">
        <f t="shared" si="10"/>
        <v>0</v>
      </c>
      <c r="I180" s="115"/>
      <c r="J180" s="116"/>
      <c r="K180" s="117"/>
      <c r="L180" s="116"/>
      <c r="M180" s="118"/>
      <c r="N180" s="96"/>
      <c r="O180" s="96"/>
      <c r="P180" s="97"/>
      <c r="Q180" s="97"/>
      <c r="R180" s="12"/>
      <c r="S180" s="12"/>
      <c r="T180" s="13"/>
      <c r="V180" s="26"/>
    </row>
    <row r="181" spans="2:22" s="7" customFormat="1" ht="49.5" hidden="1" customHeight="1">
      <c r="B181" s="145" t="s">
        <v>134</v>
      </c>
      <c r="C181" s="85">
        <f t="shared" si="9"/>
        <v>21</v>
      </c>
      <c r="D181" s="91" t="s">
        <v>76</v>
      </c>
      <c r="E181" s="80"/>
      <c r="F181" s="80"/>
      <c r="G181" s="80"/>
      <c r="H181" s="134">
        <f t="shared" si="10"/>
        <v>0</v>
      </c>
      <c r="I181" s="115"/>
      <c r="J181" s="116"/>
      <c r="K181" s="117"/>
      <c r="L181" s="116"/>
      <c r="M181" s="118"/>
      <c r="N181" s="96"/>
      <c r="O181" s="96"/>
      <c r="P181" s="97"/>
      <c r="Q181" s="97"/>
      <c r="R181" s="12"/>
      <c r="S181" s="12"/>
      <c r="T181" s="13"/>
      <c r="V181" s="26"/>
    </row>
    <row r="182" spans="2:22" s="7" customFormat="1" ht="49.5" hidden="1" customHeight="1">
      <c r="B182" s="145" t="s">
        <v>134</v>
      </c>
      <c r="C182" s="85">
        <f t="shared" si="9"/>
        <v>22</v>
      </c>
      <c r="D182" s="91" t="s">
        <v>76</v>
      </c>
      <c r="E182" s="80"/>
      <c r="F182" s="80"/>
      <c r="G182" s="80"/>
      <c r="H182" s="134">
        <f t="shared" si="10"/>
        <v>0</v>
      </c>
      <c r="I182" s="115"/>
      <c r="J182" s="116"/>
      <c r="K182" s="117"/>
      <c r="L182" s="116"/>
      <c r="M182" s="118"/>
      <c r="N182" s="96"/>
      <c r="O182" s="96"/>
      <c r="P182" s="97"/>
      <c r="Q182" s="97"/>
      <c r="R182" s="12"/>
      <c r="S182" s="12"/>
      <c r="T182" s="13"/>
      <c r="V182" s="26"/>
    </row>
    <row r="183" spans="2:22" s="7" customFormat="1" ht="49.5" hidden="1" customHeight="1">
      <c r="B183" s="145" t="s">
        <v>134</v>
      </c>
      <c r="C183" s="85">
        <f t="shared" si="9"/>
        <v>23</v>
      </c>
      <c r="D183" s="91" t="s">
        <v>76</v>
      </c>
      <c r="E183" s="80"/>
      <c r="F183" s="80"/>
      <c r="G183" s="80"/>
      <c r="H183" s="134">
        <f t="shared" si="10"/>
        <v>0</v>
      </c>
      <c r="I183" s="115"/>
      <c r="J183" s="116"/>
      <c r="K183" s="117"/>
      <c r="L183" s="116"/>
      <c r="M183" s="118"/>
      <c r="N183" s="96"/>
      <c r="O183" s="96"/>
      <c r="P183" s="97"/>
      <c r="Q183" s="97"/>
      <c r="R183" s="12"/>
      <c r="S183" s="12"/>
      <c r="T183" s="13"/>
      <c r="V183" s="26"/>
    </row>
    <row r="184" spans="2:22" s="7" customFormat="1" ht="49.5" hidden="1" customHeight="1">
      <c r="B184" s="145" t="s">
        <v>134</v>
      </c>
      <c r="C184" s="85">
        <f t="shared" si="9"/>
        <v>24</v>
      </c>
      <c r="D184" s="91" t="s">
        <v>76</v>
      </c>
      <c r="E184" s="80"/>
      <c r="F184" s="80"/>
      <c r="G184" s="80"/>
      <c r="H184" s="134">
        <f t="shared" si="10"/>
        <v>0</v>
      </c>
      <c r="I184" s="115"/>
      <c r="J184" s="116"/>
      <c r="K184" s="117"/>
      <c r="L184" s="116"/>
      <c r="M184" s="118"/>
      <c r="N184" s="96"/>
      <c r="O184" s="96"/>
      <c r="P184" s="97"/>
      <c r="Q184" s="97"/>
      <c r="R184" s="12"/>
      <c r="S184" s="12"/>
      <c r="T184" s="13"/>
      <c r="V184" s="26"/>
    </row>
    <row r="185" spans="2:22" s="7" customFormat="1" ht="49.5" hidden="1" customHeight="1">
      <c r="B185" s="145" t="s">
        <v>134</v>
      </c>
      <c r="C185" s="85">
        <f t="shared" si="9"/>
        <v>25</v>
      </c>
      <c r="D185" s="91" t="s">
        <v>76</v>
      </c>
      <c r="E185" s="80"/>
      <c r="F185" s="80"/>
      <c r="G185" s="80"/>
      <c r="H185" s="134">
        <f t="shared" si="10"/>
        <v>0</v>
      </c>
      <c r="I185" s="115"/>
      <c r="J185" s="116"/>
      <c r="K185" s="117"/>
      <c r="L185" s="116"/>
      <c r="M185" s="118"/>
      <c r="N185" s="96"/>
      <c r="O185" s="96"/>
      <c r="P185" s="97"/>
      <c r="Q185" s="97"/>
      <c r="R185" s="12"/>
      <c r="S185" s="12"/>
      <c r="T185" s="13"/>
      <c r="V185" s="26"/>
    </row>
    <row r="186" spans="2:22" s="7" customFormat="1" ht="49.5" hidden="1" customHeight="1">
      <c r="B186" s="145" t="s">
        <v>134</v>
      </c>
      <c r="C186" s="85">
        <f t="shared" si="9"/>
        <v>26</v>
      </c>
      <c r="D186" s="91" t="s">
        <v>76</v>
      </c>
      <c r="E186" s="80"/>
      <c r="F186" s="80"/>
      <c r="G186" s="80"/>
      <c r="H186" s="134">
        <f t="shared" si="10"/>
        <v>0</v>
      </c>
      <c r="I186" s="115"/>
      <c r="J186" s="116"/>
      <c r="K186" s="117"/>
      <c r="L186" s="116"/>
      <c r="M186" s="118"/>
      <c r="N186" s="96"/>
      <c r="O186" s="96"/>
      <c r="P186" s="97"/>
      <c r="Q186" s="97"/>
      <c r="R186" s="12"/>
      <c r="S186" s="12"/>
      <c r="T186" s="13"/>
      <c r="V186" s="26"/>
    </row>
    <row r="187" spans="2:22" s="7" customFormat="1" ht="49.5" hidden="1" customHeight="1">
      <c r="B187" s="145" t="s">
        <v>134</v>
      </c>
      <c r="C187" s="85">
        <f t="shared" si="9"/>
        <v>27</v>
      </c>
      <c r="D187" s="91" t="s">
        <v>76</v>
      </c>
      <c r="E187" s="80"/>
      <c r="F187" s="80"/>
      <c r="G187" s="80"/>
      <c r="H187" s="134">
        <f t="shared" si="10"/>
        <v>0</v>
      </c>
      <c r="I187" s="115"/>
      <c r="J187" s="116"/>
      <c r="K187" s="117"/>
      <c r="L187" s="116"/>
      <c r="M187" s="118"/>
      <c r="N187" s="96"/>
      <c r="O187" s="96"/>
      <c r="P187" s="97"/>
      <c r="Q187" s="97"/>
      <c r="R187" s="12"/>
      <c r="S187" s="12"/>
      <c r="T187" s="13"/>
      <c r="V187" s="26"/>
    </row>
    <row r="188" spans="2:22" s="7" customFormat="1" ht="49.5" hidden="1" customHeight="1">
      <c r="B188" s="145" t="s">
        <v>134</v>
      </c>
      <c r="C188" s="85">
        <f t="shared" si="9"/>
        <v>28</v>
      </c>
      <c r="D188" s="91" t="s">
        <v>76</v>
      </c>
      <c r="E188" s="80"/>
      <c r="F188" s="80"/>
      <c r="G188" s="80"/>
      <c r="H188" s="134">
        <f t="shared" si="10"/>
        <v>0</v>
      </c>
      <c r="I188" s="115"/>
      <c r="J188" s="116"/>
      <c r="K188" s="117"/>
      <c r="L188" s="116"/>
      <c r="M188" s="118"/>
      <c r="N188" s="96"/>
      <c r="O188" s="96"/>
      <c r="P188" s="97"/>
      <c r="Q188" s="97"/>
      <c r="R188" s="12"/>
      <c r="S188" s="12"/>
      <c r="T188" s="13"/>
      <c r="V188" s="26"/>
    </row>
    <row r="189" spans="2:22" s="7" customFormat="1" ht="49.5" hidden="1" customHeight="1">
      <c r="B189" s="145" t="s">
        <v>134</v>
      </c>
      <c r="C189" s="85">
        <f t="shared" si="9"/>
        <v>29</v>
      </c>
      <c r="D189" s="91" t="s">
        <v>76</v>
      </c>
      <c r="E189" s="80"/>
      <c r="F189" s="80"/>
      <c r="G189" s="80"/>
      <c r="H189" s="134">
        <f t="shared" si="10"/>
        <v>0</v>
      </c>
      <c r="I189" s="115"/>
      <c r="J189" s="116"/>
      <c r="K189" s="117"/>
      <c r="L189" s="116"/>
      <c r="M189" s="118"/>
      <c r="N189" s="96"/>
      <c r="O189" s="96"/>
      <c r="P189" s="97"/>
      <c r="Q189" s="97"/>
      <c r="R189" s="12"/>
      <c r="S189" s="12"/>
      <c r="T189" s="13"/>
      <c r="V189" s="26"/>
    </row>
    <row r="190" spans="2:22" s="7" customFormat="1" ht="49.5" hidden="1" customHeight="1">
      <c r="B190" s="145" t="s">
        <v>134</v>
      </c>
      <c r="C190" s="85">
        <f t="shared" si="9"/>
        <v>30</v>
      </c>
      <c r="D190" s="91" t="s">
        <v>76</v>
      </c>
      <c r="E190" s="80"/>
      <c r="F190" s="80"/>
      <c r="G190" s="80"/>
      <c r="H190" s="134">
        <f t="shared" si="10"/>
        <v>0</v>
      </c>
      <c r="I190" s="115"/>
      <c r="J190" s="116"/>
      <c r="K190" s="117"/>
      <c r="L190" s="116"/>
      <c r="M190" s="118"/>
      <c r="N190" s="96"/>
      <c r="O190" s="96"/>
      <c r="P190" s="97"/>
      <c r="Q190" s="97"/>
      <c r="R190" s="12"/>
      <c r="S190" s="12"/>
      <c r="T190" s="13"/>
      <c r="U190" s="88" t="s">
        <v>67</v>
      </c>
      <c r="V190" s="26"/>
    </row>
    <row r="191" spans="2:22" s="7" customFormat="1" ht="49.5" hidden="1" customHeight="1">
      <c r="B191" s="145" t="s">
        <v>134</v>
      </c>
      <c r="C191" s="85">
        <f t="shared" si="9"/>
        <v>31</v>
      </c>
      <c r="D191" s="91" t="s">
        <v>76</v>
      </c>
      <c r="E191" s="80"/>
      <c r="F191" s="80"/>
      <c r="G191" s="80"/>
      <c r="H191" s="134">
        <f t="shared" si="10"/>
        <v>0</v>
      </c>
      <c r="I191" s="115"/>
      <c r="J191" s="116"/>
      <c r="K191" s="117"/>
      <c r="L191" s="116"/>
      <c r="M191" s="118"/>
      <c r="N191" s="96"/>
      <c r="O191" s="96"/>
      <c r="P191" s="97"/>
      <c r="Q191" s="97"/>
      <c r="R191" s="12"/>
      <c r="S191" s="12"/>
      <c r="T191" s="13"/>
      <c r="V191" s="26"/>
    </row>
    <row r="192" spans="2:22" s="7" customFormat="1" ht="49.5" hidden="1" customHeight="1">
      <c r="B192" s="145" t="s">
        <v>134</v>
      </c>
      <c r="C192" s="85">
        <f t="shared" si="9"/>
        <v>32</v>
      </c>
      <c r="D192" s="91" t="s">
        <v>76</v>
      </c>
      <c r="E192" s="80"/>
      <c r="F192" s="80"/>
      <c r="G192" s="80"/>
      <c r="H192" s="134">
        <f t="shared" si="10"/>
        <v>0</v>
      </c>
      <c r="I192" s="115"/>
      <c r="J192" s="116"/>
      <c r="K192" s="117"/>
      <c r="L192" s="116"/>
      <c r="M192" s="118"/>
      <c r="N192" s="96"/>
      <c r="O192" s="96"/>
      <c r="P192" s="97"/>
      <c r="Q192" s="97"/>
      <c r="R192" s="12"/>
      <c r="S192" s="12"/>
      <c r="T192" s="13"/>
      <c r="V192" s="26"/>
    </row>
    <row r="193" spans="2:22" s="7" customFormat="1" ht="49.5" hidden="1" customHeight="1">
      <c r="B193" s="145" t="s">
        <v>134</v>
      </c>
      <c r="C193" s="85">
        <f t="shared" si="9"/>
        <v>33</v>
      </c>
      <c r="D193" s="91" t="s">
        <v>76</v>
      </c>
      <c r="E193" s="80"/>
      <c r="F193" s="80"/>
      <c r="G193" s="80"/>
      <c r="H193" s="134">
        <f t="shared" si="10"/>
        <v>0</v>
      </c>
      <c r="I193" s="115"/>
      <c r="J193" s="116"/>
      <c r="K193" s="117"/>
      <c r="L193" s="116"/>
      <c r="M193" s="118"/>
      <c r="N193" s="96"/>
      <c r="O193" s="96"/>
      <c r="P193" s="97"/>
      <c r="Q193" s="97"/>
      <c r="R193" s="12"/>
      <c r="S193" s="12"/>
      <c r="T193" s="13"/>
      <c r="V193" s="26"/>
    </row>
    <row r="194" spans="2:22" s="7" customFormat="1" ht="49.5" hidden="1" customHeight="1">
      <c r="B194" s="145" t="s">
        <v>134</v>
      </c>
      <c r="C194" s="85">
        <f t="shared" si="9"/>
        <v>34</v>
      </c>
      <c r="D194" s="91" t="s">
        <v>76</v>
      </c>
      <c r="E194" s="80"/>
      <c r="F194" s="80"/>
      <c r="G194" s="80"/>
      <c r="H194" s="134">
        <f t="shared" si="10"/>
        <v>0</v>
      </c>
      <c r="I194" s="115"/>
      <c r="J194" s="116"/>
      <c r="K194" s="117"/>
      <c r="L194" s="116"/>
      <c r="M194" s="118"/>
      <c r="N194" s="96"/>
      <c r="O194" s="96"/>
      <c r="P194" s="97"/>
      <c r="Q194" s="97"/>
      <c r="R194" s="12"/>
      <c r="S194" s="12"/>
      <c r="T194" s="13"/>
      <c r="V194" s="26"/>
    </row>
    <row r="195" spans="2:22" s="7" customFormat="1" ht="49.5" hidden="1" customHeight="1">
      <c r="B195" s="145" t="s">
        <v>134</v>
      </c>
      <c r="C195" s="85">
        <f t="shared" si="9"/>
        <v>35</v>
      </c>
      <c r="D195" s="91" t="s">
        <v>76</v>
      </c>
      <c r="E195" s="80"/>
      <c r="F195" s="80"/>
      <c r="G195" s="80"/>
      <c r="H195" s="134">
        <f t="shared" si="10"/>
        <v>0</v>
      </c>
      <c r="I195" s="115"/>
      <c r="J195" s="116"/>
      <c r="K195" s="117"/>
      <c r="L195" s="116"/>
      <c r="M195" s="118"/>
      <c r="N195" s="96"/>
      <c r="O195" s="96"/>
      <c r="P195" s="97"/>
      <c r="Q195" s="97"/>
      <c r="R195" s="12"/>
      <c r="S195" s="12"/>
      <c r="T195" s="13"/>
      <c r="V195" s="26"/>
    </row>
    <row r="196" spans="2:22" s="7" customFormat="1" ht="49.5" hidden="1" customHeight="1">
      <c r="B196" s="145" t="s">
        <v>134</v>
      </c>
      <c r="C196" s="85">
        <f t="shared" si="9"/>
        <v>36</v>
      </c>
      <c r="D196" s="91" t="s">
        <v>76</v>
      </c>
      <c r="E196" s="80"/>
      <c r="F196" s="80"/>
      <c r="G196" s="80"/>
      <c r="H196" s="134">
        <f t="shared" si="10"/>
        <v>0</v>
      </c>
      <c r="I196" s="115"/>
      <c r="J196" s="116"/>
      <c r="K196" s="117"/>
      <c r="L196" s="116"/>
      <c r="M196" s="118"/>
      <c r="N196" s="96"/>
      <c r="O196" s="96"/>
      <c r="P196" s="97"/>
      <c r="Q196" s="97"/>
      <c r="R196" s="12"/>
      <c r="S196" s="12"/>
      <c r="T196" s="13"/>
      <c r="V196" s="26"/>
    </row>
    <row r="197" spans="2:22" s="7" customFormat="1" ht="49.5" hidden="1" customHeight="1">
      <c r="B197" s="145" t="s">
        <v>134</v>
      </c>
      <c r="C197" s="85">
        <f t="shared" si="9"/>
        <v>37</v>
      </c>
      <c r="D197" s="91" t="s">
        <v>76</v>
      </c>
      <c r="E197" s="80"/>
      <c r="F197" s="80"/>
      <c r="G197" s="80"/>
      <c r="H197" s="134">
        <f t="shared" si="10"/>
        <v>0</v>
      </c>
      <c r="I197" s="115"/>
      <c r="J197" s="116"/>
      <c r="K197" s="117"/>
      <c r="L197" s="116"/>
      <c r="M197" s="118"/>
      <c r="N197" s="96"/>
      <c r="O197" s="96"/>
      <c r="P197" s="97"/>
      <c r="Q197" s="97"/>
      <c r="R197" s="12"/>
      <c r="S197" s="12"/>
      <c r="T197" s="13"/>
      <c r="V197" s="26"/>
    </row>
    <row r="198" spans="2:22" s="7" customFormat="1" ht="49.5" hidden="1" customHeight="1">
      <c r="B198" s="145" t="s">
        <v>134</v>
      </c>
      <c r="C198" s="85">
        <f t="shared" si="9"/>
        <v>38</v>
      </c>
      <c r="D198" s="91" t="s">
        <v>76</v>
      </c>
      <c r="E198" s="80"/>
      <c r="F198" s="80"/>
      <c r="G198" s="80"/>
      <c r="H198" s="134">
        <f t="shared" si="10"/>
        <v>0</v>
      </c>
      <c r="I198" s="115"/>
      <c r="J198" s="116"/>
      <c r="K198" s="117"/>
      <c r="L198" s="116"/>
      <c r="M198" s="118"/>
      <c r="N198" s="96"/>
      <c r="O198" s="96"/>
      <c r="P198" s="97"/>
      <c r="Q198" s="97"/>
      <c r="R198" s="12"/>
      <c r="S198" s="12"/>
      <c r="T198" s="13"/>
      <c r="V198" s="26"/>
    </row>
    <row r="199" spans="2:22" s="7" customFormat="1" ht="49.5" hidden="1" customHeight="1">
      <c r="B199" s="145" t="s">
        <v>134</v>
      </c>
      <c r="C199" s="85">
        <f t="shared" si="9"/>
        <v>39</v>
      </c>
      <c r="D199" s="91" t="s">
        <v>76</v>
      </c>
      <c r="E199" s="80"/>
      <c r="F199" s="80"/>
      <c r="G199" s="80"/>
      <c r="H199" s="134">
        <f t="shared" si="10"/>
        <v>0</v>
      </c>
      <c r="I199" s="115"/>
      <c r="J199" s="116"/>
      <c r="K199" s="117"/>
      <c r="L199" s="116"/>
      <c r="M199" s="118"/>
      <c r="N199" s="96"/>
      <c r="O199" s="96"/>
      <c r="P199" s="97"/>
      <c r="Q199" s="97"/>
      <c r="R199" s="12"/>
      <c r="S199" s="12"/>
      <c r="T199" s="13"/>
      <c r="V199" s="26"/>
    </row>
    <row r="200" spans="2:22" s="7" customFormat="1" ht="49.5" hidden="1" customHeight="1">
      <c r="B200" s="145" t="s">
        <v>134</v>
      </c>
      <c r="C200" s="85">
        <f t="shared" si="9"/>
        <v>40</v>
      </c>
      <c r="D200" s="91" t="s">
        <v>76</v>
      </c>
      <c r="E200" s="80"/>
      <c r="F200" s="80"/>
      <c r="G200" s="80"/>
      <c r="H200" s="134">
        <f t="shared" si="10"/>
        <v>0</v>
      </c>
      <c r="I200" s="115"/>
      <c r="J200" s="116"/>
      <c r="K200" s="117"/>
      <c r="L200" s="116"/>
      <c r="M200" s="118"/>
      <c r="N200" s="96"/>
      <c r="O200" s="96"/>
      <c r="P200" s="97"/>
      <c r="Q200" s="97"/>
      <c r="R200" s="12"/>
      <c r="S200" s="12"/>
      <c r="T200" s="13"/>
      <c r="V200" s="26"/>
    </row>
    <row r="201" spans="2:22" s="7" customFormat="1" ht="49.5" hidden="1" customHeight="1">
      <c r="B201" s="145" t="s">
        <v>134</v>
      </c>
      <c r="C201" s="85">
        <f t="shared" si="9"/>
        <v>41</v>
      </c>
      <c r="D201" s="91" t="s">
        <v>76</v>
      </c>
      <c r="E201" s="80"/>
      <c r="F201" s="80"/>
      <c r="G201" s="80"/>
      <c r="H201" s="134">
        <f t="shared" si="10"/>
        <v>0</v>
      </c>
      <c r="I201" s="115"/>
      <c r="J201" s="116"/>
      <c r="K201" s="117"/>
      <c r="L201" s="116"/>
      <c r="M201" s="118"/>
      <c r="N201" s="96"/>
      <c r="O201" s="96"/>
      <c r="P201" s="97"/>
      <c r="Q201" s="97"/>
      <c r="R201" s="12"/>
      <c r="S201" s="12"/>
      <c r="T201" s="13"/>
      <c r="V201" s="26"/>
    </row>
    <row r="202" spans="2:22" s="7" customFormat="1" ht="49.5" hidden="1" customHeight="1">
      <c r="B202" s="145" t="s">
        <v>134</v>
      </c>
      <c r="C202" s="85">
        <f t="shared" si="9"/>
        <v>42</v>
      </c>
      <c r="D202" s="91" t="s">
        <v>76</v>
      </c>
      <c r="E202" s="80"/>
      <c r="F202" s="80"/>
      <c r="G202" s="80"/>
      <c r="H202" s="134">
        <f t="shared" si="10"/>
        <v>0</v>
      </c>
      <c r="I202" s="115"/>
      <c r="J202" s="116"/>
      <c r="K202" s="117"/>
      <c r="L202" s="116"/>
      <c r="M202" s="118"/>
      <c r="N202" s="96"/>
      <c r="O202" s="96"/>
      <c r="P202" s="97"/>
      <c r="Q202" s="97"/>
      <c r="R202" s="12"/>
      <c r="S202" s="12"/>
      <c r="T202" s="13"/>
      <c r="V202" s="26"/>
    </row>
    <row r="203" spans="2:22" s="7" customFormat="1" ht="49.5" hidden="1" customHeight="1">
      <c r="B203" s="145" t="s">
        <v>134</v>
      </c>
      <c r="C203" s="85">
        <f t="shared" si="9"/>
        <v>43</v>
      </c>
      <c r="D203" s="91" t="s">
        <v>76</v>
      </c>
      <c r="E203" s="80"/>
      <c r="F203" s="80"/>
      <c r="G203" s="80"/>
      <c r="H203" s="134">
        <f t="shared" si="10"/>
        <v>0</v>
      </c>
      <c r="I203" s="115"/>
      <c r="J203" s="116"/>
      <c r="K203" s="117"/>
      <c r="L203" s="116"/>
      <c r="M203" s="118"/>
      <c r="N203" s="96"/>
      <c r="O203" s="96"/>
      <c r="P203" s="97"/>
      <c r="Q203" s="97"/>
      <c r="R203" s="12"/>
      <c r="S203" s="12"/>
      <c r="T203" s="13"/>
      <c r="V203" s="26"/>
    </row>
    <row r="204" spans="2:22" s="7" customFormat="1" ht="49.5" hidden="1" customHeight="1">
      <c r="B204" s="145" t="s">
        <v>134</v>
      </c>
      <c r="C204" s="85">
        <f t="shared" si="9"/>
        <v>44</v>
      </c>
      <c r="D204" s="91" t="s">
        <v>76</v>
      </c>
      <c r="E204" s="80"/>
      <c r="F204" s="80"/>
      <c r="G204" s="80"/>
      <c r="H204" s="134">
        <f t="shared" si="10"/>
        <v>0</v>
      </c>
      <c r="I204" s="115"/>
      <c r="J204" s="116"/>
      <c r="K204" s="117"/>
      <c r="L204" s="116"/>
      <c r="M204" s="118"/>
      <c r="N204" s="96"/>
      <c r="O204" s="96"/>
      <c r="P204" s="97"/>
      <c r="Q204" s="97"/>
      <c r="R204" s="12"/>
      <c r="S204" s="12"/>
      <c r="T204" s="13"/>
      <c r="V204" s="26"/>
    </row>
    <row r="205" spans="2:22" s="7" customFormat="1" ht="49.5" hidden="1" customHeight="1">
      <c r="B205" s="145" t="s">
        <v>134</v>
      </c>
      <c r="C205" s="85">
        <f t="shared" si="9"/>
        <v>45</v>
      </c>
      <c r="D205" s="91" t="s">
        <v>76</v>
      </c>
      <c r="E205" s="80"/>
      <c r="F205" s="80"/>
      <c r="G205" s="80"/>
      <c r="H205" s="134">
        <f t="shared" si="10"/>
        <v>0</v>
      </c>
      <c r="I205" s="115"/>
      <c r="J205" s="116"/>
      <c r="K205" s="117"/>
      <c r="L205" s="116"/>
      <c r="M205" s="118"/>
      <c r="N205" s="96"/>
      <c r="O205" s="96"/>
      <c r="P205" s="97"/>
      <c r="Q205" s="97"/>
      <c r="R205" s="12"/>
      <c r="S205" s="12"/>
      <c r="T205" s="13"/>
      <c r="V205" s="26"/>
    </row>
    <row r="206" spans="2:22" s="7" customFormat="1" ht="49.5" hidden="1" customHeight="1">
      <c r="B206" s="145" t="s">
        <v>134</v>
      </c>
      <c r="C206" s="85">
        <f t="shared" si="9"/>
        <v>46</v>
      </c>
      <c r="D206" s="91" t="s">
        <v>76</v>
      </c>
      <c r="E206" s="80"/>
      <c r="F206" s="80"/>
      <c r="G206" s="80"/>
      <c r="H206" s="134">
        <f t="shared" si="10"/>
        <v>0</v>
      </c>
      <c r="I206" s="115"/>
      <c r="J206" s="116"/>
      <c r="K206" s="117"/>
      <c r="L206" s="116"/>
      <c r="M206" s="118"/>
      <c r="N206" s="96"/>
      <c r="O206" s="96"/>
      <c r="P206" s="97"/>
      <c r="Q206" s="97"/>
      <c r="R206" s="12"/>
      <c r="S206" s="12"/>
      <c r="T206" s="13"/>
      <c r="V206" s="26"/>
    </row>
    <row r="207" spans="2:22" s="7" customFormat="1" ht="49.5" hidden="1" customHeight="1">
      <c r="B207" s="145" t="s">
        <v>134</v>
      </c>
      <c r="C207" s="85">
        <f t="shared" si="9"/>
        <v>47</v>
      </c>
      <c r="D207" s="91" t="s">
        <v>76</v>
      </c>
      <c r="E207" s="80"/>
      <c r="F207" s="80"/>
      <c r="G207" s="80"/>
      <c r="H207" s="134">
        <f t="shared" si="10"/>
        <v>0</v>
      </c>
      <c r="I207" s="115"/>
      <c r="J207" s="116"/>
      <c r="K207" s="117"/>
      <c r="L207" s="116"/>
      <c r="M207" s="118"/>
      <c r="N207" s="96"/>
      <c r="O207" s="96"/>
      <c r="P207" s="97"/>
      <c r="Q207" s="97"/>
      <c r="R207" s="12"/>
      <c r="S207" s="12"/>
      <c r="T207" s="13"/>
      <c r="V207" s="26"/>
    </row>
    <row r="208" spans="2:22" s="7" customFormat="1" ht="49.5" hidden="1" customHeight="1">
      <c r="B208" s="145" t="s">
        <v>134</v>
      </c>
      <c r="C208" s="85">
        <f t="shared" si="9"/>
        <v>48</v>
      </c>
      <c r="D208" s="91" t="s">
        <v>76</v>
      </c>
      <c r="E208" s="80"/>
      <c r="F208" s="80"/>
      <c r="G208" s="80"/>
      <c r="H208" s="134">
        <f t="shared" si="10"/>
        <v>0</v>
      </c>
      <c r="I208" s="115"/>
      <c r="J208" s="116"/>
      <c r="K208" s="117"/>
      <c r="L208" s="116"/>
      <c r="M208" s="118"/>
      <c r="N208" s="96"/>
      <c r="O208" s="96"/>
      <c r="P208" s="97"/>
      <c r="Q208" s="97"/>
      <c r="R208" s="12"/>
      <c r="S208" s="12"/>
      <c r="T208" s="13"/>
      <c r="V208" s="26"/>
    </row>
    <row r="209" spans="2:22" s="7" customFormat="1" ht="49.5" hidden="1" customHeight="1">
      <c r="B209" s="145" t="s">
        <v>134</v>
      </c>
      <c r="C209" s="85">
        <f t="shared" si="9"/>
        <v>49</v>
      </c>
      <c r="D209" s="91" t="s">
        <v>76</v>
      </c>
      <c r="E209" s="80"/>
      <c r="F209" s="80"/>
      <c r="G209" s="80"/>
      <c r="H209" s="134">
        <f t="shared" si="10"/>
        <v>0</v>
      </c>
      <c r="I209" s="115"/>
      <c r="J209" s="116"/>
      <c r="K209" s="117"/>
      <c r="L209" s="116"/>
      <c r="M209" s="118"/>
      <c r="N209" s="96"/>
      <c r="O209" s="96"/>
      <c r="P209" s="97"/>
      <c r="Q209" s="97"/>
      <c r="R209" s="12"/>
      <c r="S209" s="12"/>
      <c r="T209" s="13"/>
      <c r="V209" s="26"/>
    </row>
    <row r="210" spans="2:22" s="7" customFormat="1" ht="49.5" hidden="1" customHeight="1">
      <c r="B210" s="145" t="s">
        <v>134</v>
      </c>
      <c r="C210" s="85">
        <f t="shared" si="9"/>
        <v>50</v>
      </c>
      <c r="D210" s="91" t="s">
        <v>76</v>
      </c>
      <c r="E210" s="80"/>
      <c r="F210" s="80"/>
      <c r="G210" s="80"/>
      <c r="H210" s="134">
        <f t="shared" si="10"/>
        <v>0</v>
      </c>
      <c r="I210" s="115"/>
      <c r="J210" s="116"/>
      <c r="K210" s="117"/>
      <c r="L210" s="116"/>
      <c r="M210" s="118"/>
      <c r="N210" s="96"/>
      <c r="O210" s="96"/>
      <c r="P210" s="97"/>
      <c r="Q210" s="97"/>
      <c r="R210" s="12"/>
      <c r="S210" s="12"/>
      <c r="T210" s="13"/>
      <c r="V210" s="26"/>
    </row>
    <row r="211" spans="2:22" s="7" customFormat="1" ht="49.5" hidden="1" customHeight="1">
      <c r="B211" s="145" t="s">
        <v>134</v>
      </c>
      <c r="C211" s="85">
        <f t="shared" si="9"/>
        <v>51</v>
      </c>
      <c r="D211" s="91" t="s">
        <v>76</v>
      </c>
      <c r="E211" s="80"/>
      <c r="F211" s="80"/>
      <c r="G211" s="80"/>
      <c r="H211" s="134">
        <f t="shared" si="10"/>
        <v>0</v>
      </c>
      <c r="I211" s="115"/>
      <c r="J211" s="116"/>
      <c r="K211" s="117"/>
      <c r="L211" s="116"/>
      <c r="M211" s="118"/>
      <c r="N211" s="96"/>
      <c r="O211" s="96"/>
      <c r="P211" s="97"/>
      <c r="Q211" s="97"/>
      <c r="R211" s="12"/>
      <c r="S211" s="12"/>
      <c r="T211" s="13"/>
      <c r="V211" s="26"/>
    </row>
    <row r="212" spans="2:22" s="7" customFormat="1" ht="49.5" hidden="1" customHeight="1">
      <c r="B212" s="145" t="s">
        <v>134</v>
      </c>
      <c r="C212" s="85">
        <f t="shared" si="9"/>
        <v>52</v>
      </c>
      <c r="D212" s="91" t="s">
        <v>76</v>
      </c>
      <c r="E212" s="80"/>
      <c r="F212" s="80"/>
      <c r="G212" s="80"/>
      <c r="H212" s="134">
        <f>IF(L212&lt;=0,I212*J212,I212*J212*L212)</f>
        <v>0</v>
      </c>
      <c r="I212" s="115"/>
      <c r="J212" s="116"/>
      <c r="K212" s="117"/>
      <c r="L212" s="116"/>
      <c r="M212" s="118"/>
      <c r="N212" s="96"/>
      <c r="O212" s="96"/>
      <c r="P212" s="97"/>
      <c r="Q212" s="97"/>
      <c r="R212" s="12"/>
      <c r="S212" s="12"/>
      <c r="T212" s="13"/>
      <c r="V212" s="26"/>
    </row>
    <row r="213" spans="2:22" s="7" customFormat="1" ht="49.5" hidden="1" customHeight="1">
      <c r="B213" s="145" t="s">
        <v>134</v>
      </c>
      <c r="C213" s="85">
        <f t="shared" si="9"/>
        <v>53</v>
      </c>
      <c r="D213" s="91" t="s">
        <v>76</v>
      </c>
      <c r="E213" s="80"/>
      <c r="F213" s="80"/>
      <c r="G213" s="80"/>
      <c r="H213" s="134">
        <f t="shared" ref="H213:H220" si="11">IF(L213&lt;=0,I213*J213,I213*J213*L213)</f>
        <v>0</v>
      </c>
      <c r="I213" s="115"/>
      <c r="J213" s="116"/>
      <c r="K213" s="117"/>
      <c r="L213" s="116"/>
      <c r="M213" s="118"/>
      <c r="N213" s="96"/>
      <c r="O213" s="96"/>
      <c r="P213" s="97"/>
      <c r="Q213" s="97"/>
      <c r="R213" s="12"/>
      <c r="S213" s="12"/>
      <c r="T213" s="13"/>
      <c r="V213" s="26"/>
    </row>
    <row r="214" spans="2:22" s="7" customFormat="1" ht="49.5" hidden="1" customHeight="1">
      <c r="B214" s="145" t="s">
        <v>134</v>
      </c>
      <c r="C214" s="85">
        <f t="shared" si="9"/>
        <v>54</v>
      </c>
      <c r="D214" s="91" t="s">
        <v>76</v>
      </c>
      <c r="E214" s="80"/>
      <c r="F214" s="80"/>
      <c r="G214" s="80"/>
      <c r="H214" s="134">
        <f t="shared" si="11"/>
        <v>0</v>
      </c>
      <c r="I214" s="115"/>
      <c r="J214" s="116"/>
      <c r="K214" s="117"/>
      <c r="L214" s="116"/>
      <c r="M214" s="118"/>
      <c r="N214" s="96"/>
      <c r="O214" s="96"/>
      <c r="P214" s="97"/>
      <c r="Q214" s="97"/>
      <c r="R214" s="12"/>
      <c r="S214" s="12"/>
      <c r="T214" s="13"/>
      <c r="V214" s="26"/>
    </row>
    <row r="215" spans="2:22" s="7" customFormat="1" ht="49.5" hidden="1" customHeight="1">
      <c r="B215" s="145" t="s">
        <v>134</v>
      </c>
      <c r="C215" s="85">
        <f t="shared" si="9"/>
        <v>55</v>
      </c>
      <c r="D215" s="91" t="s">
        <v>76</v>
      </c>
      <c r="E215" s="80"/>
      <c r="F215" s="80"/>
      <c r="G215" s="80"/>
      <c r="H215" s="134">
        <f t="shared" si="11"/>
        <v>0</v>
      </c>
      <c r="I215" s="115"/>
      <c r="J215" s="116"/>
      <c r="K215" s="117"/>
      <c r="L215" s="116"/>
      <c r="M215" s="118"/>
      <c r="N215" s="96"/>
      <c r="O215" s="96"/>
      <c r="P215" s="97"/>
      <c r="Q215" s="97"/>
      <c r="R215" s="12"/>
      <c r="S215" s="12"/>
      <c r="T215" s="13"/>
      <c r="V215" s="26"/>
    </row>
    <row r="216" spans="2:22" s="7" customFormat="1" ht="49.5" hidden="1" customHeight="1">
      <c r="B216" s="145" t="s">
        <v>134</v>
      </c>
      <c r="C216" s="85">
        <f t="shared" si="9"/>
        <v>56</v>
      </c>
      <c r="D216" s="91" t="s">
        <v>76</v>
      </c>
      <c r="E216" s="80"/>
      <c r="F216" s="80"/>
      <c r="G216" s="80"/>
      <c r="H216" s="134">
        <f t="shared" si="11"/>
        <v>0</v>
      </c>
      <c r="I216" s="115"/>
      <c r="J216" s="116"/>
      <c r="K216" s="117"/>
      <c r="L216" s="116"/>
      <c r="M216" s="118"/>
      <c r="N216" s="96"/>
      <c r="O216" s="96"/>
      <c r="P216" s="97"/>
      <c r="Q216" s="97"/>
      <c r="R216" s="12"/>
      <c r="S216" s="12"/>
      <c r="T216" s="13"/>
      <c r="V216" s="26"/>
    </row>
    <row r="217" spans="2:22" s="7" customFormat="1" ht="49.5" hidden="1" customHeight="1">
      <c r="B217" s="145" t="s">
        <v>134</v>
      </c>
      <c r="C217" s="85">
        <f t="shared" si="9"/>
        <v>57</v>
      </c>
      <c r="D217" s="91" t="s">
        <v>76</v>
      </c>
      <c r="E217" s="80"/>
      <c r="F217" s="80"/>
      <c r="G217" s="80"/>
      <c r="H217" s="134">
        <f t="shared" si="11"/>
        <v>0</v>
      </c>
      <c r="I217" s="115"/>
      <c r="J217" s="116"/>
      <c r="K217" s="117"/>
      <c r="L217" s="116"/>
      <c r="M217" s="118"/>
      <c r="N217" s="96"/>
      <c r="O217" s="96"/>
      <c r="P217" s="97"/>
      <c r="Q217" s="97"/>
      <c r="R217" s="12"/>
      <c r="S217" s="12"/>
      <c r="T217" s="13"/>
      <c r="V217" s="26"/>
    </row>
    <row r="218" spans="2:22" s="7" customFormat="1" ht="49.5" hidden="1" customHeight="1">
      <c r="B218" s="145" t="s">
        <v>134</v>
      </c>
      <c r="C218" s="85">
        <f t="shared" si="9"/>
        <v>58</v>
      </c>
      <c r="D218" s="91" t="s">
        <v>76</v>
      </c>
      <c r="E218" s="80"/>
      <c r="F218" s="80"/>
      <c r="G218" s="80"/>
      <c r="H218" s="134">
        <f t="shared" si="11"/>
        <v>0</v>
      </c>
      <c r="I218" s="115"/>
      <c r="J218" s="116"/>
      <c r="K218" s="117"/>
      <c r="L218" s="116"/>
      <c r="M218" s="118"/>
      <c r="N218" s="96"/>
      <c r="O218" s="96"/>
      <c r="P218" s="97"/>
      <c r="Q218" s="97"/>
      <c r="R218" s="12"/>
      <c r="S218" s="12"/>
      <c r="T218" s="13"/>
      <c r="V218" s="26"/>
    </row>
    <row r="219" spans="2:22" s="7" customFormat="1" ht="49.5" hidden="1" customHeight="1">
      <c r="B219" s="145" t="s">
        <v>134</v>
      </c>
      <c r="C219" s="85">
        <f t="shared" si="9"/>
        <v>59</v>
      </c>
      <c r="D219" s="91" t="s">
        <v>76</v>
      </c>
      <c r="E219" s="80"/>
      <c r="F219" s="80"/>
      <c r="G219" s="80"/>
      <c r="H219" s="134">
        <f t="shared" si="11"/>
        <v>0</v>
      </c>
      <c r="I219" s="115"/>
      <c r="J219" s="116"/>
      <c r="K219" s="117"/>
      <c r="L219" s="116"/>
      <c r="M219" s="118"/>
      <c r="N219" s="96"/>
      <c r="O219" s="96"/>
      <c r="P219" s="97"/>
      <c r="Q219" s="97"/>
      <c r="R219" s="10"/>
      <c r="S219" s="10"/>
      <c r="T219" s="11"/>
      <c r="V219" s="26"/>
    </row>
    <row r="220" spans="2:22" s="7" customFormat="1" ht="49.5" hidden="1" customHeight="1" thickBot="1">
      <c r="B220" s="146" t="s">
        <v>134</v>
      </c>
      <c r="C220" s="83">
        <f t="shared" si="9"/>
        <v>60</v>
      </c>
      <c r="D220" s="29" t="s">
        <v>76</v>
      </c>
      <c r="E220" s="82"/>
      <c r="F220" s="82"/>
      <c r="G220" s="82"/>
      <c r="H220" s="25">
        <f t="shared" si="11"/>
        <v>0</v>
      </c>
      <c r="I220" s="119"/>
      <c r="J220" s="120"/>
      <c r="K220" s="121"/>
      <c r="L220" s="120"/>
      <c r="M220" s="122"/>
      <c r="N220" s="98"/>
      <c r="O220" s="98"/>
      <c r="P220" s="99"/>
      <c r="Q220" s="99"/>
      <c r="R220" s="12"/>
      <c r="S220" s="12"/>
      <c r="T220" s="13"/>
      <c r="V220" s="26"/>
    </row>
    <row r="221" spans="2:22" s="7" customFormat="1" ht="49.5" customHeight="1" thickTop="1" thickBot="1">
      <c r="B221" s="141" t="s">
        <v>68</v>
      </c>
      <c r="C221" s="17"/>
      <c r="D221" s="92"/>
      <c r="E221" s="137"/>
      <c r="F221" s="137"/>
      <c r="G221" s="137"/>
      <c r="H221" s="18">
        <f>SUM(H161:H220)</f>
        <v>1700000</v>
      </c>
      <c r="I221" s="123"/>
      <c r="J221" s="124"/>
      <c r="K221" s="124"/>
      <c r="L221" s="124"/>
      <c r="M221" s="124"/>
      <c r="N221" s="100"/>
      <c r="O221" s="100"/>
      <c r="P221" s="101"/>
      <c r="Q221" s="101"/>
      <c r="R221" s="8"/>
      <c r="S221" s="8"/>
      <c r="T221" s="9"/>
    </row>
    <row r="222" spans="2:22" s="7" customFormat="1" ht="49.5" customHeight="1" thickTop="1" thickBot="1">
      <c r="B222" s="142" t="s">
        <v>135</v>
      </c>
      <c r="C222" s="84">
        <v>1</v>
      </c>
      <c r="D222" s="28" t="s">
        <v>76</v>
      </c>
      <c r="E222" s="79"/>
      <c r="F222" s="79"/>
      <c r="G222" s="79"/>
      <c r="H222" s="136">
        <f t="shared" ref="H222:H251" si="12">IF(L222&lt;=0,I222*J222,I222*J222*L222)</f>
        <v>1250000</v>
      </c>
      <c r="I222" s="110">
        <v>50000</v>
      </c>
      <c r="J222" s="111">
        <v>25</v>
      </c>
      <c r="K222" s="112" t="s">
        <v>83</v>
      </c>
      <c r="L222" s="113"/>
      <c r="M222" s="114"/>
      <c r="N222" s="94" t="s">
        <v>84</v>
      </c>
      <c r="O222" s="94" t="s">
        <v>85</v>
      </c>
      <c r="P222" s="95" t="s">
        <v>121</v>
      </c>
      <c r="Q222" s="95" t="s">
        <v>103</v>
      </c>
      <c r="R222" s="8"/>
      <c r="S222" s="8"/>
      <c r="T222" s="9"/>
      <c r="U222" s="89" t="s">
        <v>146</v>
      </c>
      <c r="V222" s="26"/>
    </row>
    <row r="223" spans="2:22" s="7" customFormat="1" ht="49.5" hidden="1" customHeight="1">
      <c r="B223" s="139" t="s">
        <v>135</v>
      </c>
      <c r="C223" s="85">
        <f>C222+1</f>
        <v>2</v>
      </c>
      <c r="D223" s="91" t="s">
        <v>76</v>
      </c>
      <c r="E223" s="80"/>
      <c r="F223" s="80"/>
      <c r="G223" s="80"/>
      <c r="H223" s="134">
        <f t="shared" si="12"/>
        <v>0</v>
      </c>
      <c r="I223" s="115"/>
      <c r="J223" s="116"/>
      <c r="K223" s="117"/>
      <c r="L223" s="116"/>
      <c r="M223" s="118"/>
      <c r="N223" s="96"/>
      <c r="O223" s="96"/>
      <c r="P223" s="97"/>
      <c r="Q223" s="97"/>
      <c r="R223" s="10"/>
      <c r="S223" s="10"/>
      <c r="T223" s="11"/>
      <c r="V223" s="26"/>
    </row>
    <row r="224" spans="2:22" s="7" customFormat="1" ht="49.5" hidden="1" customHeight="1">
      <c r="B224" s="139" t="s">
        <v>135</v>
      </c>
      <c r="C224" s="85">
        <f t="shared" ref="C224:C251" si="13">C223+1</f>
        <v>3</v>
      </c>
      <c r="D224" s="91" t="s">
        <v>76</v>
      </c>
      <c r="E224" s="80"/>
      <c r="F224" s="80"/>
      <c r="G224" s="80"/>
      <c r="H224" s="134">
        <f t="shared" si="12"/>
        <v>0</v>
      </c>
      <c r="I224" s="115"/>
      <c r="J224" s="116"/>
      <c r="K224" s="117"/>
      <c r="L224" s="116"/>
      <c r="M224" s="118"/>
      <c r="N224" s="96"/>
      <c r="O224" s="96"/>
      <c r="P224" s="97"/>
      <c r="Q224" s="97"/>
      <c r="R224" s="12"/>
      <c r="S224" s="12"/>
      <c r="T224" s="13"/>
      <c r="V224" s="26"/>
    </row>
    <row r="225" spans="2:22" s="7" customFormat="1" ht="49.5" hidden="1" customHeight="1">
      <c r="B225" s="139" t="s">
        <v>135</v>
      </c>
      <c r="C225" s="85">
        <f t="shared" si="13"/>
        <v>4</v>
      </c>
      <c r="D225" s="91" t="s">
        <v>76</v>
      </c>
      <c r="E225" s="80"/>
      <c r="F225" s="80"/>
      <c r="G225" s="80"/>
      <c r="H225" s="134">
        <f t="shared" si="12"/>
        <v>0</v>
      </c>
      <c r="I225" s="115"/>
      <c r="J225" s="116"/>
      <c r="K225" s="117"/>
      <c r="L225" s="116"/>
      <c r="M225" s="118"/>
      <c r="N225" s="96"/>
      <c r="O225" s="96"/>
      <c r="P225" s="97"/>
      <c r="Q225" s="97"/>
      <c r="R225" s="12"/>
      <c r="S225" s="12"/>
      <c r="T225" s="13"/>
      <c r="V225" s="26"/>
    </row>
    <row r="226" spans="2:22" s="7" customFormat="1" ht="49.5" hidden="1" customHeight="1">
      <c r="B226" s="139" t="s">
        <v>135</v>
      </c>
      <c r="C226" s="85">
        <f t="shared" si="13"/>
        <v>5</v>
      </c>
      <c r="D226" s="91" t="s">
        <v>76</v>
      </c>
      <c r="E226" s="80"/>
      <c r="F226" s="80"/>
      <c r="G226" s="80"/>
      <c r="H226" s="134">
        <f t="shared" si="12"/>
        <v>0</v>
      </c>
      <c r="I226" s="115"/>
      <c r="J226" s="116"/>
      <c r="K226" s="117"/>
      <c r="L226" s="116"/>
      <c r="M226" s="118"/>
      <c r="N226" s="96"/>
      <c r="O226" s="96"/>
      <c r="P226" s="97"/>
      <c r="Q226" s="97"/>
      <c r="R226" s="12"/>
      <c r="S226" s="12"/>
      <c r="T226" s="13"/>
      <c r="V226" s="26"/>
    </row>
    <row r="227" spans="2:22" s="7" customFormat="1" ht="49.5" hidden="1" customHeight="1">
      <c r="B227" s="139" t="s">
        <v>135</v>
      </c>
      <c r="C227" s="85">
        <f t="shared" si="13"/>
        <v>6</v>
      </c>
      <c r="D227" s="91" t="s">
        <v>76</v>
      </c>
      <c r="E227" s="80"/>
      <c r="F227" s="80"/>
      <c r="G227" s="80"/>
      <c r="H227" s="134">
        <f t="shared" si="12"/>
        <v>0</v>
      </c>
      <c r="I227" s="115"/>
      <c r="J227" s="116"/>
      <c r="K227" s="117"/>
      <c r="L227" s="116"/>
      <c r="M227" s="118"/>
      <c r="N227" s="96"/>
      <c r="O227" s="96"/>
      <c r="P227" s="97"/>
      <c r="Q227" s="97"/>
      <c r="R227" s="12"/>
      <c r="S227" s="12"/>
      <c r="T227" s="13"/>
      <c r="V227" s="26"/>
    </row>
    <row r="228" spans="2:22" s="7" customFormat="1" ht="49.5" hidden="1" customHeight="1">
      <c r="B228" s="139" t="s">
        <v>135</v>
      </c>
      <c r="C228" s="85">
        <f t="shared" si="13"/>
        <v>7</v>
      </c>
      <c r="D228" s="91" t="s">
        <v>76</v>
      </c>
      <c r="E228" s="80"/>
      <c r="F228" s="80"/>
      <c r="G228" s="80"/>
      <c r="H228" s="134">
        <f t="shared" si="12"/>
        <v>0</v>
      </c>
      <c r="I228" s="115"/>
      <c r="J228" s="116"/>
      <c r="K228" s="117"/>
      <c r="L228" s="116"/>
      <c r="M228" s="118"/>
      <c r="N228" s="96"/>
      <c r="O228" s="96"/>
      <c r="P228" s="97"/>
      <c r="Q228" s="97"/>
      <c r="R228" s="10"/>
      <c r="S228" s="10"/>
      <c r="T228" s="11"/>
      <c r="V228" s="26"/>
    </row>
    <row r="229" spans="2:22" s="7" customFormat="1" ht="49.5" hidden="1" customHeight="1">
      <c r="B229" s="139" t="s">
        <v>135</v>
      </c>
      <c r="C229" s="85">
        <f t="shared" si="13"/>
        <v>8</v>
      </c>
      <c r="D229" s="91" t="s">
        <v>76</v>
      </c>
      <c r="E229" s="80"/>
      <c r="F229" s="80"/>
      <c r="G229" s="80"/>
      <c r="H229" s="134">
        <f t="shared" si="12"/>
        <v>0</v>
      </c>
      <c r="I229" s="115"/>
      <c r="J229" s="116"/>
      <c r="K229" s="117"/>
      <c r="L229" s="116"/>
      <c r="M229" s="118"/>
      <c r="N229" s="96"/>
      <c r="O229" s="96"/>
      <c r="P229" s="97"/>
      <c r="Q229" s="97"/>
      <c r="R229" s="12"/>
      <c r="S229" s="12"/>
      <c r="T229" s="13"/>
      <c r="V229" s="26"/>
    </row>
    <row r="230" spans="2:22" s="7" customFormat="1" ht="49.5" hidden="1" customHeight="1">
      <c r="B230" s="139" t="s">
        <v>135</v>
      </c>
      <c r="C230" s="85">
        <f t="shared" si="13"/>
        <v>9</v>
      </c>
      <c r="D230" s="91" t="s">
        <v>76</v>
      </c>
      <c r="E230" s="80"/>
      <c r="F230" s="80"/>
      <c r="G230" s="80"/>
      <c r="H230" s="134">
        <f t="shared" si="12"/>
        <v>0</v>
      </c>
      <c r="I230" s="115"/>
      <c r="J230" s="116"/>
      <c r="K230" s="117"/>
      <c r="L230" s="116"/>
      <c r="M230" s="118"/>
      <c r="N230" s="96"/>
      <c r="O230" s="96"/>
      <c r="P230" s="97"/>
      <c r="Q230" s="97"/>
      <c r="R230" s="12"/>
      <c r="S230" s="12"/>
      <c r="T230" s="13"/>
      <c r="V230" s="26"/>
    </row>
    <row r="231" spans="2:22" s="7" customFormat="1" ht="49.5" hidden="1" customHeight="1">
      <c r="B231" s="139" t="s">
        <v>135</v>
      </c>
      <c r="C231" s="85">
        <f t="shared" si="13"/>
        <v>10</v>
      </c>
      <c r="D231" s="91" t="s">
        <v>76</v>
      </c>
      <c r="E231" s="80"/>
      <c r="F231" s="80"/>
      <c r="G231" s="80"/>
      <c r="H231" s="134">
        <f t="shared" si="12"/>
        <v>0</v>
      </c>
      <c r="I231" s="115"/>
      <c r="J231" s="116"/>
      <c r="K231" s="117"/>
      <c r="L231" s="116"/>
      <c r="M231" s="118"/>
      <c r="N231" s="96"/>
      <c r="O231" s="96"/>
      <c r="P231" s="97"/>
      <c r="Q231" s="97"/>
      <c r="R231" s="12"/>
      <c r="S231" s="12"/>
      <c r="T231" s="13"/>
      <c r="V231" s="26"/>
    </row>
    <row r="232" spans="2:22" s="7" customFormat="1" ht="49.5" hidden="1" customHeight="1">
      <c r="B232" s="139" t="s">
        <v>135</v>
      </c>
      <c r="C232" s="85">
        <f t="shared" si="13"/>
        <v>11</v>
      </c>
      <c r="D232" s="91" t="s">
        <v>76</v>
      </c>
      <c r="E232" s="80"/>
      <c r="F232" s="80"/>
      <c r="G232" s="80"/>
      <c r="H232" s="134">
        <f t="shared" si="12"/>
        <v>0</v>
      </c>
      <c r="I232" s="115"/>
      <c r="J232" s="116"/>
      <c r="K232" s="117"/>
      <c r="L232" s="116"/>
      <c r="M232" s="118"/>
      <c r="N232" s="96"/>
      <c r="O232" s="96"/>
      <c r="P232" s="97"/>
      <c r="Q232" s="97"/>
      <c r="R232" s="12"/>
      <c r="S232" s="12"/>
      <c r="T232" s="13"/>
      <c r="V232" s="26"/>
    </row>
    <row r="233" spans="2:22" s="7" customFormat="1" ht="49.5" hidden="1" customHeight="1">
      <c r="B233" s="139" t="s">
        <v>135</v>
      </c>
      <c r="C233" s="85">
        <f t="shared" si="13"/>
        <v>12</v>
      </c>
      <c r="D233" s="91" t="s">
        <v>76</v>
      </c>
      <c r="E233" s="80"/>
      <c r="F233" s="80"/>
      <c r="G233" s="80"/>
      <c r="H233" s="134">
        <f t="shared" si="12"/>
        <v>0</v>
      </c>
      <c r="I233" s="115"/>
      <c r="J233" s="116"/>
      <c r="K233" s="117"/>
      <c r="L233" s="116"/>
      <c r="M233" s="118"/>
      <c r="N233" s="96"/>
      <c r="O233" s="96"/>
      <c r="P233" s="97"/>
      <c r="Q233" s="97"/>
      <c r="R233" s="10"/>
      <c r="S233" s="10"/>
      <c r="T233" s="11"/>
      <c r="V233" s="26"/>
    </row>
    <row r="234" spans="2:22" s="7" customFormat="1" ht="49.5" hidden="1" customHeight="1">
      <c r="B234" s="139" t="s">
        <v>135</v>
      </c>
      <c r="C234" s="85">
        <f t="shared" si="13"/>
        <v>13</v>
      </c>
      <c r="D234" s="91" t="s">
        <v>76</v>
      </c>
      <c r="E234" s="80"/>
      <c r="F234" s="80"/>
      <c r="G234" s="80"/>
      <c r="H234" s="134">
        <f t="shared" si="12"/>
        <v>0</v>
      </c>
      <c r="I234" s="115"/>
      <c r="J234" s="116"/>
      <c r="K234" s="117"/>
      <c r="L234" s="116"/>
      <c r="M234" s="118"/>
      <c r="N234" s="96"/>
      <c r="O234" s="96"/>
      <c r="P234" s="97"/>
      <c r="Q234" s="97"/>
      <c r="R234" s="12"/>
      <c r="S234" s="12"/>
      <c r="T234" s="13"/>
      <c r="V234" s="26"/>
    </row>
    <row r="235" spans="2:22" s="7" customFormat="1" ht="49.5" hidden="1" customHeight="1">
      <c r="B235" s="139" t="s">
        <v>135</v>
      </c>
      <c r="C235" s="85">
        <f t="shared" si="13"/>
        <v>14</v>
      </c>
      <c r="D235" s="91" t="s">
        <v>76</v>
      </c>
      <c r="E235" s="80"/>
      <c r="F235" s="80"/>
      <c r="G235" s="80"/>
      <c r="H235" s="134">
        <f t="shared" si="12"/>
        <v>0</v>
      </c>
      <c r="I235" s="115"/>
      <c r="J235" s="116"/>
      <c r="K235" s="117"/>
      <c r="L235" s="116"/>
      <c r="M235" s="118"/>
      <c r="N235" s="96"/>
      <c r="O235" s="96"/>
      <c r="P235" s="97"/>
      <c r="Q235" s="97"/>
      <c r="R235" s="12"/>
      <c r="S235" s="12"/>
      <c r="T235" s="13"/>
      <c r="V235" s="26"/>
    </row>
    <row r="236" spans="2:22" s="7" customFormat="1" ht="49.5" hidden="1" customHeight="1">
      <c r="B236" s="139" t="s">
        <v>135</v>
      </c>
      <c r="C236" s="85">
        <f t="shared" si="13"/>
        <v>15</v>
      </c>
      <c r="D236" s="91" t="s">
        <v>76</v>
      </c>
      <c r="E236" s="80"/>
      <c r="F236" s="80"/>
      <c r="G236" s="80"/>
      <c r="H236" s="134">
        <f t="shared" si="12"/>
        <v>0</v>
      </c>
      <c r="I236" s="115"/>
      <c r="J236" s="116"/>
      <c r="K236" s="117"/>
      <c r="L236" s="116"/>
      <c r="M236" s="118"/>
      <c r="N236" s="96"/>
      <c r="O236" s="96"/>
      <c r="P236" s="97"/>
      <c r="Q236" s="97"/>
      <c r="R236" s="12"/>
      <c r="S236" s="12"/>
      <c r="T236" s="13"/>
      <c r="V236" s="26"/>
    </row>
    <row r="237" spans="2:22" s="7" customFormat="1" ht="49.5" hidden="1" customHeight="1">
      <c r="B237" s="139" t="s">
        <v>135</v>
      </c>
      <c r="C237" s="85">
        <f t="shared" si="13"/>
        <v>16</v>
      </c>
      <c r="D237" s="91" t="s">
        <v>76</v>
      </c>
      <c r="E237" s="80"/>
      <c r="F237" s="80"/>
      <c r="G237" s="80"/>
      <c r="H237" s="134">
        <f t="shared" si="12"/>
        <v>0</v>
      </c>
      <c r="I237" s="115"/>
      <c r="J237" s="116"/>
      <c r="K237" s="117"/>
      <c r="L237" s="116"/>
      <c r="M237" s="118"/>
      <c r="N237" s="96"/>
      <c r="O237" s="96"/>
      <c r="P237" s="97"/>
      <c r="Q237" s="97"/>
      <c r="R237" s="12"/>
      <c r="S237" s="12"/>
      <c r="T237" s="13"/>
      <c r="V237" s="26"/>
    </row>
    <row r="238" spans="2:22" s="7" customFormat="1" ht="49.5" hidden="1" customHeight="1">
      <c r="B238" s="139" t="s">
        <v>135</v>
      </c>
      <c r="C238" s="85">
        <f t="shared" si="13"/>
        <v>17</v>
      </c>
      <c r="D238" s="91" t="s">
        <v>76</v>
      </c>
      <c r="E238" s="80"/>
      <c r="F238" s="80"/>
      <c r="G238" s="80"/>
      <c r="H238" s="134">
        <f t="shared" si="12"/>
        <v>0</v>
      </c>
      <c r="I238" s="115"/>
      <c r="J238" s="116"/>
      <c r="K238" s="117"/>
      <c r="L238" s="116"/>
      <c r="M238" s="118"/>
      <c r="N238" s="96"/>
      <c r="O238" s="96"/>
      <c r="P238" s="97"/>
      <c r="Q238" s="97"/>
      <c r="R238" s="10"/>
      <c r="S238" s="10"/>
      <c r="T238" s="11"/>
      <c r="V238" s="26"/>
    </row>
    <row r="239" spans="2:22" s="7" customFormat="1" ht="49.5" hidden="1" customHeight="1">
      <c r="B239" s="139" t="s">
        <v>135</v>
      </c>
      <c r="C239" s="85">
        <f t="shared" si="13"/>
        <v>18</v>
      </c>
      <c r="D239" s="91" t="s">
        <v>76</v>
      </c>
      <c r="E239" s="80"/>
      <c r="F239" s="80"/>
      <c r="G239" s="80"/>
      <c r="H239" s="134">
        <f t="shared" si="12"/>
        <v>0</v>
      </c>
      <c r="I239" s="115"/>
      <c r="J239" s="116"/>
      <c r="K239" s="117"/>
      <c r="L239" s="116"/>
      <c r="M239" s="118"/>
      <c r="N239" s="96"/>
      <c r="O239" s="96"/>
      <c r="P239" s="97"/>
      <c r="Q239" s="97"/>
      <c r="R239" s="12"/>
      <c r="S239" s="12"/>
      <c r="T239" s="13"/>
      <c r="V239" s="26"/>
    </row>
    <row r="240" spans="2:22" s="7" customFormat="1" ht="49.5" hidden="1" customHeight="1">
      <c r="B240" s="139" t="s">
        <v>135</v>
      </c>
      <c r="C240" s="85">
        <f t="shared" si="13"/>
        <v>19</v>
      </c>
      <c r="D240" s="91" t="s">
        <v>76</v>
      </c>
      <c r="E240" s="80"/>
      <c r="F240" s="80"/>
      <c r="G240" s="80"/>
      <c r="H240" s="134">
        <f t="shared" si="12"/>
        <v>0</v>
      </c>
      <c r="I240" s="115"/>
      <c r="J240" s="116"/>
      <c r="K240" s="117"/>
      <c r="L240" s="116"/>
      <c r="M240" s="118"/>
      <c r="N240" s="96"/>
      <c r="O240" s="96"/>
      <c r="P240" s="97"/>
      <c r="Q240" s="97"/>
      <c r="R240" s="12"/>
      <c r="S240" s="12"/>
      <c r="T240" s="13"/>
      <c r="V240" s="26"/>
    </row>
    <row r="241" spans="2:22" s="7" customFormat="1" ht="49.5" hidden="1" customHeight="1">
      <c r="B241" s="139" t="s">
        <v>135</v>
      </c>
      <c r="C241" s="85">
        <f t="shared" si="13"/>
        <v>20</v>
      </c>
      <c r="D241" s="91" t="s">
        <v>76</v>
      </c>
      <c r="E241" s="80"/>
      <c r="F241" s="80"/>
      <c r="G241" s="80"/>
      <c r="H241" s="134">
        <f t="shared" si="12"/>
        <v>0</v>
      </c>
      <c r="I241" s="115"/>
      <c r="J241" s="116"/>
      <c r="K241" s="117"/>
      <c r="L241" s="116"/>
      <c r="M241" s="118"/>
      <c r="N241" s="96"/>
      <c r="O241" s="96"/>
      <c r="P241" s="97"/>
      <c r="Q241" s="97"/>
      <c r="R241" s="12"/>
      <c r="S241" s="12"/>
      <c r="T241" s="13"/>
      <c r="V241" s="26"/>
    </row>
    <row r="242" spans="2:22" s="7" customFormat="1" ht="49.5" hidden="1" customHeight="1">
      <c r="B242" s="139" t="s">
        <v>135</v>
      </c>
      <c r="C242" s="85">
        <f t="shared" si="13"/>
        <v>21</v>
      </c>
      <c r="D242" s="91" t="s">
        <v>76</v>
      </c>
      <c r="E242" s="80"/>
      <c r="F242" s="80"/>
      <c r="G242" s="80"/>
      <c r="H242" s="134">
        <f t="shared" si="12"/>
        <v>0</v>
      </c>
      <c r="I242" s="115"/>
      <c r="J242" s="116"/>
      <c r="K242" s="117"/>
      <c r="L242" s="116"/>
      <c r="M242" s="118"/>
      <c r="N242" s="96"/>
      <c r="O242" s="96"/>
      <c r="P242" s="97"/>
      <c r="Q242" s="97"/>
      <c r="R242" s="12"/>
      <c r="S242" s="12"/>
      <c r="T242" s="13"/>
      <c r="V242" s="26"/>
    </row>
    <row r="243" spans="2:22" s="7" customFormat="1" ht="49.5" hidden="1" customHeight="1">
      <c r="B243" s="139" t="s">
        <v>135</v>
      </c>
      <c r="C243" s="85">
        <f t="shared" si="13"/>
        <v>22</v>
      </c>
      <c r="D243" s="91" t="s">
        <v>76</v>
      </c>
      <c r="E243" s="80"/>
      <c r="F243" s="80"/>
      <c r="G243" s="80"/>
      <c r="H243" s="134">
        <f t="shared" si="12"/>
        <v>0</v>
      </c>
      <c r="I243" s="115"/>
      <c r="J243" s="116"/>
      <c r="K243" s="117"/>
      <c r="L243" s="116"/>
      <c r="M243" s="118"/>
      <c r="N243" s="96"/>
      <c r="O243" s="96"/>
      <c r="P243" s="97"/>
      <c r="Q243" s="97"/>
      <c r="R243" s="10"/>
      <c r="S243" s="10"/>
      <c r="T243" s="11"/>
      <c r="V243" s="26"/>
    </row>
    <row r="244" spans="2:22" s="7" customFormat="1" ht="49.5" hidden="1" customHeight="1">
      <c r="B244" s="139" t="s">
        <v>135</v>
      </c>
      <c r="C244" s="85">
        <f t="shared" si="13"/>
        <v>23</v>
      </c>
      <c r="D244" s="91" t="s">
        <v>76</v>
      </c>
      <c r="E244" s="80"/>
      <c r="F244" s="80"/>
      <c r="G244" s="80"/>
      <c r="H244" s="134">
        <f t="shared" si="12"/>
        <v>0</v>
      </c>
      <c r="I244" s="115"/>
      <c r="J244" s="116"/>
      <c r="K244" s="117"/>
      <c r="L244" s="116"/>
      <c r="M244" s="118"/>
      <c r="N244" s="96"/>
      <c r="O244" s="96"/>
      <c r="P244" s="97"/>
      <c r="Q244" s="97"/>
      <c r="R244" s="12"/>
      <c r="S244" s="12"/>
      <c r="T244" s="13"/>
      <c r="V244" s="26"/>
    </row>
    <row r="245" spans="2:22" s="7" customFormat="1" ht="49.5" hidden="1" customHeight="1">
      <c r="B245" s="139" t="s">
        <v>135</v>
      </c>
      <c r="C245" s="85">
        <f t="shared" si="13"/>
        <v>24</v>
      </c>
      <c r="D245" s="91" t="s">
        <v>76</v>
      </c>
      <c r="E245" s="80"/>
      <c r="F245" s="80"/>
      <c r="G245" s="80"/>
      <c r="H245" s="134">
        <f t="shared" si="12"/>
        <v>0</v>
      </c>
      <c r="I245" s="115"/>
      <c r="J245" s="116"/>
      <c r="K245" s="117"/>
      <c r="L245" s="116"/>
      <c r="M245" s="118"/>
      <c r="N245" s="96"/>
      <c r="O245" s="96"/>
      <c r="P245" s="97"/>
      <c r="Q245" s="97"/>
      <c r="R245" s="12"/>
      <c r="S245" s="12"/>
      <c r="T245" s="13"/>
      <c r="V245" s="26"/>
    </row>
    <row r="246" spans="2:22" s="7" customFormat="1" ht="49.5" hidden="1" customHeight="1">
      <c r="B246" s="139" t="s">
        <v>135</v>
      </c>
      <c r="C246" s="85">
        <f t="shared" si="13"/>
        <v>25</v>
      </c>
      <c r="D246" s="91" t="s">
        <v>76</v>
      </c>
      <c r="E246" s="80"/>
      <c r="F246" s="80"/>
      <c r="G246" s="80"/>
      <c r="H246" s="134">
        <f t="shared" si="12"/>
        <v>0</v>
      </c>
      <c r="I246" s="115"/>
      <c r="J246" s="116"/>
      <c r="K246" s="117"/>
      <c r="L246" s="116"/>
      <c r="M246" s="118"/>
      <c r="N246" s="96"/>
      <c r="O246" s="96"/>
      <c r="P246" s="97"/>
      <c r="Q246" s="97"/>
      <c r="R246" s="12"/>
      <c r="S246" s="12"/>
      <c r="T246" s="13"/>
      <c r="V246" s="26"/>
    </row>
    <row r="247" spans="2:22" s="7" customFormat="1" ht="49.5" hidden="1" customHeight="1">
      <c r="B247" s="139" t="s">
        <v>135</v>
      </c>
      <c r="C247" s="85">
        <f t="shared" si="13"/>
        <v>26</v>
      </c>
      <c r="D247" s="91" t="s">
        <v>76</v>
      </c>
      <c r="E247" s="80"/>
      <c r="F247" s="80"/>
      <c r="G247" s="80"/>
      <c r="H247" s="134">
        <f t="shared" si="12"/>
        <v>0</v>
      </c>
      <c r="I247" s="115"/>
      <c r="J247" s="116"/>
      <c r="K247" s="117"/>
      <c r="L247" s="116"/>
      <c r="M247" s="118"/>
      <c r="N247" s="96"/>
      <c r="O247" s="96"/>
      <c r="P247" s="97"/>
      <c r="Q247" s="97"/>
      <c r="R247" s="12"/>
      <c r="S247" s="12"/>
      <c r="T247" s="13"/>
      <c r="V247" s="26"/>
    </row>
    <row r="248" spans="2:22" s="7" customFormat="1" ht="49.5" hidden="1" customHeight="1">
      <c r="B248" s="139" t="s">
        <v>135</v>
      </c>
      <c r="C248" s="85">
        <f t="shared" si="13"/>
        <v>27</v>
      </c>
      <c r="D248" s="91" t="s">
        <v>76</v>
      </c>
      <c r="E248" s="80"/>
      <c r="F248" s="80"/>
      <c r="G248" s="80"/>
      <c r="H248" s="134">
        <f t="shared" si="12"/>
        <v>0</v>
      </c>
      <c r="I248" s="115"/>
      <c r="J248" s="116"/>
      <c r="K248" s="117"/>
      <c r="L248" s="116"/>
      <c r="M248" s="118"/>
      <c r="N248" s="96"/>
      <c r="O248" s="96"/>
      <c r="P248" s="97"/>
      <c r="Q248" s="97"/>
      <c r="R248" s="12"/>
      <c r="S248" s="12"/>
      <c r="T248" s="13"/>
      <c r="V248" s="26"/>
    </row>
    <row r="249" spans="2:22" s="7" customFormat="1" ht="49.5" hidden="1" customHeight="1">
      <c r="B249" s="139" t="s">
        <v>135</v>
      </c>
      <c r="C249" s="85">
        <f t="shared" si="13"/>
        <v>28</v>
      </c>
      <c r="D249" s="91" t="s">
        <v>76</v>
      </c>
      <c r="E249" s="80"/>
      <c r="F249" s="80"/>
      <c r="G249" s="80"/>
      <c r="H249" s="134">
        <f t="shared" si="12"/>
        <v>0</v>
      </c>
      <c r="I249" s="115"/>
      <c r="J249" s="116"/>
      <c r="K249" s="117"/>
      <c r="L249" s="116"/>
      <c r="M249" s="118"/>
      <c r="N249" s="96"/>
      <c r="O249" s="96"/>
      <c r="P249" s="97"/>
      <c r="Q249" s="97"/>
      <c r="R249" s="12"/>
      <c r="S249" s="12"/>
      <c r="T249" s="13"/>
      <c r="V249" s="26"/>
    </row>
    <row r="250" spans="2:22" s="7" customFormat="1" ht="49.5" hidden="1" customHeight="1">
      <c r="B250" s="139" t="s">
        <v>135</v>
      </c>
      <c r="C250" s="85">
        <f t="shared" si="13"/>
        <v>29</v>
      </c>
      <c r="D250" s="91" t="s">
        <v>76</v>
      </c>
      <c r="E250" s="80"/>
      <c r="F250" s="80"/>
      <c r="G250" s="80"/>
      <c r="H250" s="134">
        <f t="shared" si="12"/>
        <v>0</v>
      </c>
      <c r="I250" s="115"/>
      <c r="J250" s="116"/>
      <c r="K250" s="117"/>
      <c r="L250" s="116"/>
      <c r="M250" s="118"/>
      <c r="N250" s="96"/>
      <c r="O250" s="96"/>
      <c r="P250" s="97"/>
      <c r="Q250" s="97"/>
      <c r="R250" s="10"/>
      <c r="S250" s="10"/>
      <c r="T250" s="11"/>
      <c r="V250" s="26"/>
    </row>
    <row r="251" spans="2:22" s="7" customFormat="1" ht="49.5" hidden="1" customHeight="1" thickBot="1">
      <c r="B251" s="140" t="s">
        <v>135</v>
      </c>
      <c r="C251" s="83">
        <f t="shared" si="13"/>
        <v>30</v>
      </c>
      <c r="D251" s="29" t="s">
        <v>76</v>
      </c>
      <c r="E251" s="82"/>
      <c r="F251" s="82"/>
      <c r="G251" s="82"/>
      <c r="H251" s="25">
        <f t="shared" si="12"/>
        <v>0</v>
      </c>
      <c r="I251" s="119"/>
      <c r="J251" s="120"/>
      <c r="K251" s="121"/>
      <c r="L251" s="120"/>
      <c r="M251" s="122"/>
      <c r="N251" s="98"/>
      <c r="O251" s="98"/>
      <c r="P251" s="99"/>
      <c r="Q251" s="99"/>
      <c r="R251" s="12"/>
      <c r="S251" s="12"/>
      <c r="T251" s="13"/>
      <c r="V251" s="26"/>
    </row>
    <row r="252" spans="2:22" s="7" customFormat="1" ht="49.5" customHeight="1" thickTop="1" thickBot="1">
      <c r="B252" s="141" t="s">
        <v>68</v>
      </c>
      <c r="C252" s="17"/>
      <c r="D252" s="92"/>
      <c r="E252" s="137"/>
      <c r="F252" s="137"/>
      <c r="G252" s="137"/>
      <c r="H252" s="18">
        <f>SUM(H222:H251)</f>
        <v>1250000</v>
      </c>
      <c r="I252" s="123"/>
      <c r="J252" s="124"/>
      <c r="K252" s="124"/>
      <c r="L252" s="124"/>
      <c r="M252" s="124"/>
      <c r="N252" s="100"/>
      <c r="O252" s="100"/>
      <c r="P252" s="101"/>
      <c r="Q252" s="101"/>
      <c r="R252" s="8"/>
      <c r="S252" s="8"/>
      <c r="T252" s="9"/>
    </row>
    <row r="253" spans="2:22" s="7" customFormat="1" ht="49.5" customHeight="1" thickTop="1" thickBot="1">
      <c r="B253" s="142" t="s">
        <v>136</v>
      </c>
      <c r="C253" s="84">
        <v>1</v>
      </c>
      <c r="D253" s="28" t="s">
        <v>76</v>
      </c>
      <c r="E253" s="79"/>
      <c r="F253" s="79"/>
      <c r="G253" s="79"/>
      <c r="H253" s="136">
        <f t="shared" ref="H253:H282" si="14">IF(L253&lt;=0,I253*J253,I253*J253*L253)</f>
        <v>12000</v>
      </c>
      <c r="I253" s="110">
        <v>4000</v>
      </c>
      <c r="J253" s="111">
        <v>3</v>
      </c>
      <c r="K253" s="112" t="s">
        <v>74</v>
      </c>
      <c r="L253" s="113"/>
      <c r="M253" s="114"/>
      <c r="N253" s="94" t="s">
        <v>86</v>
      </c>
      <c r="O253" s="94" t="s">
        <v>118</v>
      </c>
      <c r="P253" s="95" t="s">
        <v>121</v>
      </c>
      <c r="Q253" s="95" t="s">
        <v>175</v>
      </c>
      <c r="R253" s="8"/>
      <c r="S253" s="8"/>
      <c r="T253" s="9"/>
      <c r="V253" s="26"/>
    </row>
    <row r="254" spans="2:22" s="7" customFormat="1" ht="49.5" hidden="1" customHeight="1">
      <c r="B254" s="139" t="s">
        <v>136</v>
      </c>
      <c r="C254" s="85">
        <f>C253+1</f>
        <v>2</v>
      </c>
      <c r="D254" s="91" t="s">
        <v>76</v>
      </c>
      <c r="E254" s="80"/>
      <c r="F254" s="80"/>
      <c r="G254" s="80"/>
      <c r="H254" s="134">
        <f t="shared" si="14"/>
        <v>0</v>
      </c>
      <c r="I254" s="115"/>
      <c r="J254" s="116"/>
      <c r="K254" s="117"/>
      <c r="L254" s="116"/>
      <c r="M254" s="118"/>
      <c r="N254" s="96"/>
      <c r="O254" s="96"/>
      <c r="P254" s="97"/>
      <c r="Q254" s="97"/>
      <c r="R254" s="10"/>
      <c r="S254" s="10"/>
      <c r="T254" s="11"/>
      <c r="V254" s="26"/>
    </row>
    <row r="255" spans="2:22" s="7" customFormat="1" ht="49.5" hidden="1" customHeight="1">
      <c r="B255" s="139" t="s">
        <v>136</v>
      </c>
      <c r="C255" s="85">
        <f t="shared" ref="C255:C282" si="15">C254+1</f>
        <v>3</v>
      </c>
      <c r="D255" s="91" t="s">
        <v>76</v>
      </c>
      <c r="E255" s="80"/>
      <c r="F255" s="80"/>
      <c r="G255" s="80"/>
      <c r="H255" s="134">
        <f t="shared" si="14"/>
        <v>0</v>
      </c>
      <c r="I255" s="115"/>
      <c r="J255" s="116"/>
      <c r="K255" s="117"/>
      <c r="L255" s="116"/>
      <c r="M255" s="118"/>
      <c r="N255" s="96"/>
      <c r="O255" s="96"/>
      <c r="P255" s="97"/>
      <c r="Q255" s="97"/>
      <c r="R255" s="12"/>
      <c r="S255" s="12"/>
      <c r="T255" s="13"/>
      <c r="V255" s="26"/>
    </row>
    <row r="256" spans="2:22" s="7" customFormat="1" ht="49.5" hidden="1" customHeight="1">
      <c r="B256" s="139" t="s">
        <v>136</v>
      </c>
      <c r="C256" s="85">
        <f t="shared" si="15"/>
        <v>4</v>
      </c>
      <c r="D256" s="91" t="s">
        <v>76</v>
      </c>
      <c r="E256" s="80"/>
      <c r="F256" s="80"/>
      <c r="G256" s="80"/>
      <c r="H256" s="134">
        <f t="shared" si="14"/>
        <v>0</v>
      </c>
      <c r="I256" s="115"/>
      <c r="J256" s="116"/>
      <c r="K256" s="117"/>
      <c r="L256" s="116"/>
      <c r="M256" s="118"/>
      <c r="N256" s="96"/>
      <c r="O256" s="96"/>
      <c r="P256" s="97"/>
      <c r="Q256" s="97"/>
      <c r="R256" s="12"/>
      <c r="S256" s="12"/>
      <c r="T256" s="13"/>
      <c r="V256" s="26"/>
    </row>
    <row r="257" spans="2:22" s="7" customFormat="1" ht="49.5" hidden="1" customHeight="1">
      <c r="B257" s="139" t="s">
        <v>136</v>
      </c>
      <c r="C257" s="85">
        <f t="shared" si="15"/>
        <v>5</v>
      </c>
      <c r="D257" s="91" t="s">
        <v>76</v>
      </c>
      <c r="E257" s="80"/>
      <c r="F257" s="80"/>
      <c r="G257" s="80"/>
      <c r="H257" s="134">
        <f t="shared" si="14"/>
        <v>0</v>
      </c>
      <c r="I257" s="115"/>
      <c r="J257" s="116"/>
      <c r="K257" s="117"/>
      <c r="L257" s="116"/>
      <c r="M257" s="118"/>
      <c r="N257" s="96"/>
      <c r="O257" s="96"/>
      <c r="P257" s="97"/>
      <c r="Q257" s="97"/>
      <c r="R257" s="12"/>
      <c r="S257" s="12"/>
      <c r="T257" s="13"/>
      <c r="V257" s="26"/>
    </row>
    <row r="258" spans="2:22" s="7" customFormat="1" ht="49.5" hidden="1" customHeight="1">
      <c r="B258" s="139" t="s">
        <v>136</v>
      </c>
      <c r="C258" s="85">
        <f t="shared" si="15"/>
        <v>6</v>
      </c>
      <c r="D258" s="91" t="s">
        <v>76</v>
      </c>
      <c r="E258" s="80"/>
      <c r="F258" s="80"/>
      <c r="G258" s="80"/>
      <c r="H258" s="134">
        <f t="shared" si="14"/>
        <v>0</v>
      </c>
      <c r="I258" s="115"/>
      <c r="J258" s="116"/>
      <c r="K258" s="117"/>
      <c r="L258" s="116"/>
      <c r="M258" s="118"/>
      <c r="N258" s="96"/>
      <c r="O258" s="96"/>
      <c r="P258" s="97"/>
      <c r="Q258" s="97"/>
      <c r="R258" s="12"/>
      <c r="S258" s="12"/>
      <c r="T258" s="13"/>
      <c r="V258" s="26"/>
    </row>
    <row r="259" spans="2:22" s="7" customFormat="1" ht="49.5" hidden="1" customHeight="1">
      <c r="B259" s="139" t="s">
        <v>136</v>
      </c>
      <c r="C259" s="85">
        <f t="shared" si="15"/>
        <v>7</v>
      </c>
      <c r="D259" s="91" t="s">
        <v>76</v>
      </c>
      <c r="E259" s="80"/>
      <c r="F259" s="80"/>
      <c r="G259" s="80"/>
      <c r="H259" s="134">
        <f t="shared" si="14"/>
        <v>0</v>
      </c>
      <c r="I259" s="115"/>
      <c r="J259" s="116"/>
      <c r="K259" s="117"/>
      <c r="L259" s="116"/>
      <c r="M259" s="118"/>
      <c r="N259" s="96"/>
      <c r="O259" s="96"/>
      <c r="P259" s="97"/>
      <c r="Q259" s="97"/>
      <c r="R259" s="10"/>
      <c r="S259" s="10"/>
      <c r="T259" s="11"/>
      <c r="V259" s="26"/>
    </row>
    <row r="260" spans="2:22" s="7" customFormat="1" ht="49.5" hidden="1" customHeight="1">
      <c r="B260" s="139" t="s">
        <v>136</v>
      </c>
      <c r="C260" s="85">
        <f t="shared" si="15"/>
        <v>8</v>
      </c>
      <c r="D260" s="91" t="s">
        <v>76</v>
      </c>
      <c r="E260" s="80"/>
      <c r="F260" s="80"/>
      <c r="G260" s="80"/>
      <c r="H260" s="134">
        <f t="shared" si="14"/>
        <v>0</v>
      </c>
      <c r="I260" s="115"/>
      <c r="J260" s="116"/>
      <c r="K260" s="117"/>
      <c r="L260" s="116"/>
      <c r="M260" s="118"/>
      <c r="N260" s="96"/>
      <c r="O260" s="96"/>
      <c r="P260" s="97"/>
      <c r="Q260" s="97"/>
      <c r="R260" s="12"/>
      <c r="S260" s="12"/>
      <c r="T260" s="13"/>
      <c r="V260" s="26"/>
    </row>
    <row r="261" spans="2:22" s="7" customFormat="1" ht="49.5" hidden="1" customHeight="1">
      <c r="B261" s="139" t="s">
        <v>136</v>
      </c>
      <c r="C261" s="85">
        <f t="shared" si="15"/>
        <v>9</v>
      </c>
      <c r="D261" s="91" t="s">
        <v>76</v>
      </c>
      <c r="E261" s="80"/>
      <c r="F261" s="80"/>
      <c r="G261" s="80"/>
      <c r="H261" s="134">
        <f t="shared" si="14"/>
        <v>0</v>
      </c>
      <c r="I261" s="115"/>
      <c r="J261" s="116"/>
      <c r="K261" s="117"/>
      <c r="L261" s="116"/>
      <c r="M261" s="118"/>
      <c r="N261" s="96"/>
      <c r="O261" s="96"/>
      <c r="P261" s="97"/>
      <c r="Q261" s="97"/>
      <c r="R261" s="12"/>
      <c r="S261" s="12"/>
      <c r="T261" s="13"/>
      <c r="V261" s="26"/>
    </row>
    <row r="262" spans="2:22" s="7" customFormat="1" ht="49.5" hidden="1" customHeight="1">
      <c r="B262" s="139" t="s">
        <v>136</v>
      </c>
      <c r="C262" s="85">
        <f t="shared" si="15"/>
        <v>10</v>
      </c>
      <c r="D262" s="91" t="s">
        <v>76</v>
      </c>
      <c r="E262" s="80"/>
      <c r="F262" s="80"/>
      <c r="G262" s="80"/>
      <c r="H262" s="134">
        <f t="shared" si="14"/>
        <v>0</v>
      </c>
      <c r="I262" s="115"/>
      <c r="J262" s="116"/>
      <c r="K262" s="117"/>
      <c r="L262" s="116"/>
      <c r="M262" s="118"/>
      <c r="N262" s="96"/>
      <c r="O262" s="96"/>
      <c r="P262" s="97"/>
      <c r="Q262" s="97"/>
      <c r="R262" s="12"/>
      <c r="S262" s="12"/>
      <c r="T262" s="13"/>
      <c r="V262" s="26"/>
    </row>
    <row r="263" spans="2:22" s="7" customFormat="1" ht="49.5" hidden="1" customHeight="1">
      <c r="B263" s="139" t="s">
        <v>136</v>
      </c>
      <c r="C263" s="85">
        <f t="shared" si="15"/>
        <v>11</v>
      </c>
      <c r="D263" s="91" t="s">
        <v>76</v>
      </c>
      <c r="E263" s="80"/>
      <c r="F263" s="80"/>
      <c r="G263" s="80"/>
      <c r="H263" s="134">
        <f t="shared" si="14"/>
        <v>0</v>
      </c>
      <c r="I263" s="115"/>
      <c r="J263" s="116"/>
      <c r="K263" s="117"/>
      <c r="L263" s="116"/>
      <c r="M263" s="118"/>
      <c r="N263" s="96"/>
      <c r="O263" s="96"/>
      <c r="P263" s="97"/>
      <c r="Q263" s="97"/>
      <c r="R263" s="12"/>
      <c r="S263" s="12"/>
      <c r="T263" s="13"/>
      <c r="V263" s="26"/>
    </row>
    <row r="264" spans="2:22" s="7" customFormat="1" ht="49.5" hidden="1" customHeight="1">
      <c r="B264" s="139" t="s">
        <v>136</v>
      </c>
      <c r="C264" s="85">
        <f t="shared" si="15"/>
        <v>12</v>
      </c>
      <c r="D264" s="91" t="s">
        <v>76</v>
      </c>
      <c r="E264" s="80"/>
      <c r="F264" s="80"/>
      <c r="G264" s="80"/>
      <c r="H264" s="134">
        <f t="shared" si="14"/>
        <v>0</v>
      </c>
      <c r="I264" s="115"/>
      <c r="J264" s="116"/>
      <c r="K264" s="117"/>
      <c r="L264" s="116"/>
      <c r="M264" s="118"/>
      <c r="N264" s="96"/>
      <c r="O264" s="96"/>
      <c r="P264" s="97"/>
      <c r="Q264" s="97"/>
      <c r="R264" s="10"/>
      <c r="S264" s="10"/>
      <c r="T264" s="11"/>
      <c r="V264" s="26"/>
    </row>
    <row r="265" spans="2:22" s="7" customFormat="1" ht="49.5" hidden="1" customHeight="1">
      <c r="B265" s="139" t="s">
        <v>136</v>
      </c>
      <c r="C265" s="85">
        <f t="shared" si="15"/>
        <v>13</v>
      </c>
      <c r="D265" s="91" t="s">
        <v>76</v>
      </c>
      <c r="E265" s="80"/>
      <c r="F265" s="80"/>
      <c r="G265" s="80"/>
      <c r="H265" s="134">
        <f t="shared" si="14"/>
        <v>0</v>
      </c>
      <c r="I265" s="115"/>
      <c r="J265" s="116"/>
      <c r="K265" s="117"/>
      <c r="L265" s="116"/>
      <c r="M265" s="118"/>
      <c r="N265" s="96"/>
      <c r="O265" s="96"/>
      <c r="P265" s="97"/>
      <c r="Q265" s="97"/>
      <c r="R265" s="12"/>
      <c r="S265" s="12"/>
      <c r="T265" s="13"/>
      <c r="V265" s="26"/>
    </row>
    <row r="266" spans="2:22" s="7" customFormat="1" ht="49.5" hidden="1" customHeight="1">
      <c r="B266" s="139" t="s">
        <v>136</v>
      </c>
      <c r="C266" s="85">
        <f t="shared" si="15"/>
        <v>14</v>
      </c>
      <c r="D266" s="91" t="s">
        <v>76</v>
      </c>
      <c r="E266" s="80"/>
      <c r="F266" s="80"/>
      <c r="G266" s="80"/>
      <c r="H266" s="134">
        <f t="shared" si="14"/>
        <v>0</v>
      </c>
      <c r="I266" s="115"/>
      <c r="J266" s="116"/>
      <c r="K266" s="117"/>
      <c r="L266" s="116"/>
      <c r="M266" s="118"/>
      <c r="N266" s="96"/>
      <c r="O266" s="96"/>
      <c r="P266" s="97"/>
      <c r="Q266" s="97"/>
      <c r="R266" s="12"/>
      <c r="S266" s="12"/>
      <c r="T266" s="13"/>
      <c r="V266" s="26"/>
    </row>
    <row r="267" spans="2:22" s="7" customFormat="1" ht="49.5" hidden="1" customHeight="1">
      <c r="B267" s="139" t="s">
        <v>136</v>
      </c>
      <c r="C267" s="85">
        <f t="shared" si="15"/>
        <v>15</v>
      </c>
      <c r="D267" s="91" t="s">
        <v>76</v>
      </c>
      <c r="E267" s="80"/>
      <c r="F267" s="80"/>
      <c r="G267" s="80"/>
      <c r="H267" s="134">
        <f t="shared" si="14"/>
        <v>0</v>
      </c>
      <c r="I267" s="115"/>
      <c r="J267" s="116"/>
      <c r="K267" s="117"/>
      <c r="L267" s="116"/>
      <c r="M267" s="118"/>
      <c r="N267" s="96"/>
      <c r="O267" s="96"/>
      <c r="P267" s="97"/>
      <c r="Q267" s="97"/>
      <c r="R267" s="12"/>
      <c r="S267" s="12"/>
      <c r="T267" s="13"/>
      <c r="V267" s="26"/>
    </row>
    <row r="268" spans="2:22" s="7" customFormat="1" ht="49.5" hidden="1" customHeight="1">
      <c r="B268" s="139" t="s">
        <v>136</v>
      </c>
      <c r="C268" s="85">
        <f t="shared" si="15"/>
        <v>16</v>
      </c>
      <c r="D268" s="91" t="s">
        <v>76</v>
      </c>
      <c r="E268" s="80"/>
      <c r="F268" s="80"/>
      <c r="G268" s="80"/>
      <c r="H268" s="134">
        <f t="shared" si="14"/>
        <v>0</v>
      </c>
      <c r="I268" s="115"/>
      <c r="J268" s="116"/>
      <c r="K268" s="117"/>
      <c r="L268" s="116"/>
      <c r="M268" s="118"/>
      <c r="N268" s="96"/>
      <c r="O268" s="96"/>
      <c r="P268" s="97"/>
      <c r="Q268" s="97"/>
      <c r="R268" s="12"/>
      <c r="S268" s="12"/>
      <c r="T268" s="13"/>
      <c r="V268" s="26"/>
    </row>
    <row r="269" spans="2:22" s="7" customFormat="1" ht="49.5" hidden="1" customHeight="1">
      <c r="B269" s="139" t="s">
        <v>136</v>
      </c>
      <c r="C269" s="85">
        <f t="shared" si="15"/>
        <v>17</v>
      </c>
      <c r="D269" s="91" t="s">
        <v>76</v>
      </c>
      <c r="E269" s="80"/>
      <c r="F269" s="80"/>
      <c r="G269" s="80"/>
      <c r="H269" s="134">
        <f t="shared" si="14"/>
        <v>0</v>
      </c>
      <c r="I269" s="115"/>
      <c r="J269" s="116"/>
      <c r="K269" s="117"/>
      <c r="L269" s="116"/>
      <c r="M269" s="118"/>
      <c r="N269" s="96"/>
      <c r="O269" s="96"/>
      <c r="P269" s="97"/>
      <c r="Q269" s="97"/>
      <c r="R269" s="10"/>
      <c r="S269" s="10"/>
      <c r="T269" s="11"/>
      <c r="V269" s="26"/>
    </row>
    <row r="270" spans="2:22" s="7" customFormat="1" ht="49.5" hidden="1" customHeight="1">
      <c r="B270" s="139" t="s">
        <v>136</v>
      </c>
      <c r="C270" s="85">
        <f t="shared" si="15"/>
        <v>18</v>
      </c>
      <c r="D270" s="91" t="s">
        <v>76</v>
      </c>
      <c r="E270" s="80"/>
      <c r="F270" s="80"/>
      <c r="G270" s="80"/>
      <c r="H270" s="134">
        <f t="shared" si="14"/>
        <v>0</v>
      </c>
      <c r="I270" s="115"/>
      <c r="J270" s="116"/>
      <c r="K270" s="117"/>
      <c r="L270" s="116"/>
      <c r="M270" s="118"/>
      <c r="N270" s="96"/>
      <c r="O270" s="96"/>
      <c r="P270" s="97"/>
      <c r="Q270" s="97"/>
      <c r="R270" s="12"/>
      <c r="S270" s="12"/>
      <c r="T270" s="13"/>
      <c r="V270" s="26"/>
    </row>
    <row r="271" spans="2:22" s="7" customFormat="1" ht="49.5" hidden="1" customHeight="1">
      <c r="B271" s="139" t="s">
        <v>136</v>
      </c>
      <c r="C271" s="85">
        <f t="shared" si="15"/>
        <v>19</v>
      </c>
      <c r="D271" s="91" t="s">
        <v>76</v>
      </c>
      <c r="E271" s="80"/>
      <c r="F271" s="80"/>
      <c r="G271" s="80"/>
      <c r="H271" s="134">
        <f t="shared" si="14"/>
        <v>0</v>
      </c>
      <c r="I271" s="115"/>
      <c r="J271" s="116"/>
      <c r="K271" s="117"/>
      <c r="L271" s="116"/>
      <c r="M271" s="118"/>
      <c r="N271" s="96"/>
      <c r="O271" s="96"/>
      <c r="P271" s="97"/>
      <c r="Q271" s="97"/>
      <c r="R271" s="12"/>
      <c r="S271" s="12"/>
      <c r="T271" s="13"/>
      <c r="V271" s="26"/>
    </row>
    <row r="272" spans="2:22" s="7" customFormat="1" ht="49.5" hidden="1" customHeight="1">
      <c r="B272" s="139" t="s">
        <v>136</v>
      </c>
      <c r="C272" s="85">
        <f t="shared" si="15"/>
        <v>20</v>
      </c>
      <c r="D272" s="91" t="s">
        <v>76</v>
      </c>
      <c r="E272" s="80"/>
      <c r="F272" s="80"/>
      <c r="G272" s="80"/>
      <c r="H272" s="134">
        <f t="shared" si="14"/>
        <v>0</v>
      </c>
      <c r="I272" s="115"/>
      <c r="J272" s="116"/>
      <c r="K272" s="117"/>
      <c r="L272" s="116"/>
      <c r="M272" s="118"/>
      <c r="N272" s="96"/>
      <c r="O272" s="96"/>
      <c r="P272" s="97"/>
      <c r="Q272" s="97"/>
      <c r="R272" s="12"/>
      <c r="S272" s="12"/>
      <c r="T272" s="13"/>
      <c r="V272" s="26"/>
    </row>
    <row r="273" spans="2:22" s="7" customFormat="1" ht="49.5" hidden="1" customHeight="1">
      <c r="B273" s="139" t="s">
        <v>136</v>
      </c>
      <c r="C273" s="85">
        <f t="shared" si="15"/>
        <v>21</v>
      </c>
      <c r="D273" s="91" t="s">
        <v>76</v>
      </c>
      <c r="E273" s="80"/>
      <c r="F273" s="80"/>
      <c r="G273" s="80"/>
      <c r="H273" s="134">
        <f t="shared" si="14"/>
        <v>0</v>
      </c>
      <c r="I273" s="115"/>
      <c r="J273" s="116"/>
      <c r="K273" s="117"/>
      <c r="L273" s="116"/>
      <c r="M273" s="118"/>
      <c r="N273" s="96"/>
      <c r="O273" s="96"/>
      <c r="P273" s="97"/>
      <c r="Q273" s="97"/>
      <c r="R273" s="12"/>
      <c r="S273" s="12"/>
      <c r="T273" s="13"/>
      <c r="V273" s="26"/>
    </row>
    <row r="274" spans="2:22" s="7" customFormat="1" ht="49.5" hidden="1" customHeight="1">
      <c r="B274" s="139" t="s">
        <v>136</v>
      </c>
      <c r="C274" s="85">
        <f t="shared" si="15"/>
        <v>22</v>
      </c>
      <c r="D274" s="91" t="s">
        <v>76</v>
      </c>
      <c r="E274" s="80"/>
      <c r="F274" s="80"/>
      <c r="G274" s="80"/>
      <c r="H274" s="134">
        <f t="shared" si="14"/>
        <v>0</v>
      </c>
      <c r="I274" s="115"/>
      <c r="J274" s="116"/>
      <c r="K274" s="117"/>
      <c r="L274" s="116"/>
      <c r="M274" s="118"/>
      <c r="N274" s="96"/>
      <c r="O274" s="96"/>
      <c r="P274" s="97"/>
      <c r="Q274" s="97"/>
      <c r="R274" s="10"/>
      <c r="S274" s="10"/>
      <c r="T274" s="11"/>
      <c r="V274" s="26"/>
    </row>
    <row r="275" spans="2:22" s="7" customFormat="1" ht="49.5" hidden="1" customHeight="1">
      <c r="B275" s="139" t="s">
        <v>136</v>
      </c>
      <c r="C275" s="85">
        <f t="shared" si="15"/>
        <v>23</v>
      </c>
      <c r="D275" s="91" t="s">
        <v>76</v>
      </c>
      <c r="E275" s="80"/>
      <c r="F275" s="80"/>
      <c r="G275" s="80"/>
      <c r="H275" s="134">
        <f t="shared" si="14"/>
        <v>0</v>
      </c>
      <c r="I275" s="115"/>
      <c r="J275" s="116"/>
      <c r="K275" s="117"/>
      <c r="L275" s="116"/>
      <c r="M275" s="118"/>
      <c r="N275" s="96"/>
      <c r="O275" s="96"/>
      <c r="P275" s="97"/>
      <c r="Q275" s="97"/>
      <c r="R275" s="12"/>
      <c r="S275" s="12"/>
      <c r="T275" s="13"/>
      <c r="V275" s="26"/>
    </row>
    <row r="276" spans="2:22" s="7" customFormat="1" ht="49.5" hidden="1" customHeight="1">
      <c r="B276" s="139" t="s">
        <v>136</v>
      </c>
      <c r="C276" s="85">
        <f t="shared" si="15"/>
        <v>24</v>
      </c>
      <c r="D276" s="91" t="s">
        <v>76</v>
      </c>
      <c r="E276" s="80"/>
      <c r="F276" s="80"/>
      <c r="G276" s="80"/>
      <c r="H276" s="134">
        <f t="shared" si="14"/>
        <v>0</v>
      </c>
      <c r="I276" s="115"/>
      <c r="J276" s="116"/>
      <c r="K276" s="117"/>
      <c r="L276" s="116"/>
      <c r="M276" s="118"/>
      <c r="N276" s="96"/>
      <c r="O276" s="96"/>
      <c r="P276" s="97"/>
      <c r="Q276" s="97"/>
      <c r="R276" s="12"/>
      <c r="S276" s="12"/>
      <c r="T276" s="13"/>
      <c r="V276" s="26"/>
    </row>
    <row r="277" spans="2:22" s="7" customFormat="1" ht="49.5" hidden="1" customHeight="1">
      <c r="B277" s="139" t="s">
        <v>136</v>
      </c>
      <c r="C277" s="85">
        <f t="shared" si="15"/>
        <v>25</v>
      </c>
      <c r="D277" s="91" t="s">
        <v>76</v>
      </c>
      <c r="E277" s="80"/>
      <c r="F277" s="80"/>
      <c r="G277" s="80"/>
      <c r="H277" s="134">
        <f t="shared" si="14"/>
        <v>0</v>
      </c>
      <c r="I277" s="115"/>
      <c r="J277" s="116"/>
      <c r="K277" s="117"/>
      <c r="L277" s="116"/>
      <c r="M277" s="118"/>
      <c r="N277" s="96"/>
      <c r="O277" s="96"/>
      <c r="P277" s="97"/>
      <c r="Q277" s="97"/>
      <c r="R277" s="12"/>
      <c r="S277" s="12"/>
      <c r="T277" s="13"/>
      <c r="V277" s="26"/>
    </row>
    <row r="278" spans="2:22" s="7" customFormat="1" ht="49.5" hidden="1" customHeight="1">
      <c r="B278" s="139" t="s">
        <v>136</v>
      </c>
      <c r="C278" s="85">
        <f t="shared" si="15"/>
        <v>26</v>
      </c>
      <c r="D278" s="91" t="s">
        <v>76</v>
      </c>
      <c r="E278" s="80"/>
      <c r="F278" s="80"/>
      <c r="G278" s="80"/>
      <c r="H278" s="134">
        <f t="shared" si="14"/>
        <v>0</v>
      </c>
      <c r="I278" s="115"/>
      <c r="J278" s="116"/>
      <c r="K278" s="117"/>
      <c r="L278" s="116"/>
      <c r="M278" s="118"/>
      <c r="N278" s="96"/>
      <c r="O278" s="96"/>
      <c r="P278" s="97"/>
      <c r="Q278" s="97"/>
      <c r="R278" s="12"/>
      <c r="S278" s="12"/>
      <c r="T278" s="13"/>
      <c r="V278" s="26"/>
    </row>
    <row r="279" spans="2:22" s="7" customFormat="1" ht="49.5" hidden="1" customHeight="1">
      <c r="B279" s="139" t="s">
        <v>136</v>
      </c>
      <c r="C279" s="85">
        <f t="shared" si="15"/>
        <v>27</v>
      </c>
      <c r="D279" s="91" t="s">
        <v>76</v>
      </c>
      <c r="E279" s="80"/>
      <c r="F279" s="80"/>
      <c r="G279" s="80"/>
      <c r="H279" s="134">
        <f t="shared" si="14"/>
        <v>0</v>
      </c>
      <c r="I279" s="115"/>
      <c r="J279" s="116"/>
      <c r="K279" s="117"/>
      <c r="L279" s="116"/>
      <c r="M279" s="118"/>
      <c r="N279" s="96"/>
      <c r="O279" s="96"/>
      <c r="P279" s="97"/>
      <c r="Q279" s="97"/>
      <c r="R279" s="12"/>
      <c r="S279" s="12"/>
      <c r="T279" s="13"/>
      <c r="V279" s="26"/>
    </row>
    <row r="280" spans="2:22" s="7" customFormat="1" ht="49.5" hidden="1" customHeight="1">
      <c r="B280" s="139" t="s">
        <v>136</v>
      </c>
      <c r="C280" s="85">
        <f t="shared" si="15"/>
        <v>28</v>
      </c>
      <c r="D280" s="91" t="s">
        <v>76</v>
      </c>
      <c r="E280" s="80"/>
      <c r="F280" s="80"/>
      <c r="G280" s="80"/>
      <c r="H280" s="134">
        <f t="shared" si="14"/>
        <v>0</v>
      </c>
      <c r="I280" s="115"/>
      <c r="J280" s="116"/>
      <c r="K280" s="117"/>
      <c r="L280" s="116"/>
      <c r="M280" s="118"/>
      <c r="N280" s="96"/>
      <c r="O280" s="96"/>
      <c r="P280" s="97"/>
      <c r="Q280" s="97"/>
      <c r="R280" s="12"/>
      <c r="S280" s="12"/>
      <c r="T280" s="13"/>
      <c r="V280" s="26"/>
    </row>
    <row r="281" spans="2:22" s="7" customFormat="1" ht="49.5" hidden="1" customHeight="1">
      <c r="B281" s="139" t="s">
        <v>136</v>
      </c>
      <c r="C281" s="85">
        <f t="shared" si="15"/>
        <v>29</v>
      </c>
      <c r="D281" s="91" t="s">
        <v>76</v>
      </c>
      <c r="E281" s="80"/>
      <c r="F281" s="80"/>
      <c r="G281" s="80"/>
      <c r="H281" s="134">
        <f t="shared" si="14"/>
        <v>0</v>
      </c>
      <c r="I281" s="115"/>
      <c r="J281" s="116"/>
      <c r="K281" s="117"/>
      <c r="L281" s="116"/>
      <c r="M281" s="118"/>
      <c r="N281" s="96"/>
      <c r="O281" s="96"/>
      <c r="P281" s="97"/>
      <c r="Q281" s="97"/>
      <c r="R281" s="10"/>
      <c r="S281" s="10"/>
      <c r="T281" s="11"/>
      <c r="V281" s="26"/>
    </row>
    <row r="282" spans="2:22" s="7" customFormat="1" ht="49.5" hidden="1" customHeight="1" thickBot="1">
      <c r="B282" s="140" t="s">
        <v>136</v>
      </c>
      <c r="C282" s="83">
        <f t="shared" si="15"/>
        <v>30</v>
      </c>
      <c r="D282" s="29" t="s">
        <v>76</v>
      </c>
      <c r="E282" s="82"/>
      <c r="F282" s="82"/>
      <c r="G282" s="82"/>
      <c r="H282" s="25">
        <f t="shared" si="14"/>
        <v>0</v>
      </c>
      <c r="I282" s="119"/>
      <c r="J282" s="120"/>
      <c r="K282" s="121"/>
      <c r="L282" s="120"/>
      <c r="M282" s="122"/>
      <c r="N282" s="98"/>
      <c r="O282" s="98"/>
      <c r="P282" s="99"/>
      <c r="Q282" s="99"/>
      <c r="R282" s="12"/>
      <c r="S282" s="12"/>
      <c r="T282" s="13"/>
      <c r="V282" s="26"/>
    </row>
    <row r="283" spans="2:22" s="7" customFormat="1" ht="49.5" customHeight="1" thickTop="1" thickBot="1">
      <c r="B283" s="141" t="s">
        <v>68</v>
      </c>
      <c r="C283" s="17"/>
      <c r="D283" s="92"/>
      <c r="E283" s="137"/>
      <c r="F283" s="137"/>
      <c r="G283" s="137"/>
      <c r="H283" s="18">
        <f>SUM(H253:H282)</f>
        <v>12000</v>
      </c>
      <c r="I283" s="123"/>
      <c r="J283" s="124"/>
      <c r="K283" s="124"/>
      <c r="L283" s="124"/>
      <c r="M283" s="124"/>
      <c r="N283" s="100"/>
      <c r="O283" s="100"/>
      <c r="P283" s="101"/>
      <c r="Q283" s="101"/>
      <c r="R283" s="8"/>
      <c r="S283" s="8"/>
      <c r="T283" s="9"/>
    </row>
    <row r="284" spans="2:22" s="7" customFormat="1" ht="49.5" customHeight="1" thickTop="1">
      <c r="B284" s="142" t="s">
        <v>137</v>
      </c>
      <c r="C284" s="84">
        <v>1</v>
      </c>
      <c r="D284" s="28" t="s">
        <v>76</v>
      </c>
      <c r="E284" s="79"/>
      <c r="F284" s="79"/>
      <c r="G284" s="79"/>
      <c r="H284" s="136">
        <f t="shared" ref="H284:H313" si="16">IF(L284&lt;=0,I284*J284,I284*J284*L284)</f>
        <v>1500000</v>
      </c>
      <c r="I284" s="110">
        <v>500000</v>
      </c>
      <c r="J284" s="111">
        <v>3</v>
      </c>
      <c r="K284" s="112" t="s">
        <v>79</v>
      </c>
      <c r="L284" s="113"/>
      <c r="M284" s="114"/>
      <c r="N284" s="94" t="s">
        <v>87</v>
      </c>
      <c r="O284" s="94" t="s">
        <v>171</v>
      </c>
      <c r="P284" s="95" t="s">
        <v>125</v>
      </c>
      <c r="Q284" s="95" t="s">
        <v>88</v>
      </c>
      <c r="R284" s="8"/>
      <c r="S284" s="8"/>
      <c r="T284" s="9"/>
      <c r="V284" s="26"/>
    </row>
    <row r="285" spans="2:22" s="7" customFormat="1" ht="49.5" customHeight="1">
      <c r="B285" s="139" t="s">
        <v>137</v>
      </c>
      <c r="C285" s="85">
        <f>C284+1</f>
        <v>2</v>
      </c>
      <c r="D285" s="91" t="s">
        <v>76</v>
      </c>
      <c r="E285" s="80"/>
      <c r="F285" s="80"/>
      <c r="G285" s="80"/>
      <c r="H285" s="134">
        <f t="shared" si="16"/>
        <v>100000</v>
      </c>
      <c r="I285" s="115">
        <v>100000</v>
      </c>
      <c r="J285" s="116">
        <v>1</v>
      </c>
      <c r="K285" s="117" t="s">
        <v>89</v>
      </c>
      <c r="L285" s="116">
        <v>1</v>
      </c>
      <c r="M285" s="118" t="s">
        <v>75</v>
      </c>
      <c r="N285" s="96" t="s">
        <v>90</v>
      </c>
      <c r="O285" s="96" t="s">
        <v>115</v>
      </c>
      <c r="P285" s="97" t="s">
        <v>121</v>
      </c>
      <c r="Q285" s="97" t="s">
        <v>88</v>
      </c>
      <c r="R285" s="10"/>
      <c r="S285" s="10"/>
      <c r="T285" s="11"/>
      <c r="V285" s="26"/>
    </row>
    <row r="286" spans="2:22" s="7" customFormat="1" ht="49.5" customHeight="1">
      <c r="B286" s="139" t="s">
        <v>137</v>
      </c>
      <c r="C286" s="85">
        <f t="shared" ref="C286:C313" si="17">C285+1</f>
        <v>3</v>
      </c>
      <c r="D286" s="91" t="s">
        <v>76</v>
      </c>
      <c r="E286" s="80"/>
      <c r="F286" s="80"/>
      <c r="G286" s="80"/>
      <c r="H286" s="134">
        <f t="shared" si="16"/>
        <v>27500</v>
      </c>
      <c r="I286" s="115">
        <v>55</v>
      </c>
      <c r="J286" s="116">
        <v>500</v>
      </c>
      <c r="K286" s="117" t="s">
        <v>91</v>
      </c>
      <c r="L286" s="116">
        <v>1</v>
      </c>
      <c r="M286" s="118" t="s">
        <v>75</v>
      </c>
      <c r="N286" s="96" t="s">
        <v>92</v>
      </c>
      <c r="O286" s="96" t="s">
        <v>115</v>
      </c>
      <c r="P286" s="97" t="s">
        <v>121</v>
      </c>
      <c r="Q286" s="97" t="s">
        <v>88</v>
      </c>
      <c r="R286" s="12"/>
      <c r="S286" s="12"/>
      <c r="T286" s="13"/>
      <c r="V286" s="26"/>
    </row>
    <row r="287" spans="2:22" s="7" customFormat="1" ht="49.5" customHeight="1" thickBot="1">
      <c r="B287" s="139" t="s">
        <v>137</v>
      </c>
      <c r="C287" s="85">
        <f t="shared" si="17"/>
        <v>4</v>
      </c>
      <c r="D287" s="91" t="s">
        <v>76</v>
      </c>
      <c r="E287" s="80"/>
      <c r="F287" s="80"/>
      <c r="G287" s="80"/>
      <c r="H287" s="134">
        <f t="shared" si="16"/>
        <v>60000</v>
      </c>
      <c r="I287" s="115">
        <v>200</v>
      </c>
      <c r="J287" s="116">
        <v>300</v>
      </c>
      <c r="K287" s="117" t="s">
        <v>93</v>
      </c>
      <c r="L287" s="116">
        <v>1</v>
      </c>
      <c r="M287" s="118" t="s">
        <v>75</v>
      </c>
      <c r="N287" s="96" t="s">
        <v>94</v>
      </c>
      <c r="O287" s="96" t="s">
        <v>115</v>
      </c>
      <c r="P287" s="97" t="s">
        <v>121</v>
      </c>
      <c r="Q287" s="97" t="s">
        <v>88</v>
      </c>
      <c r="R287" s="12"/>
      <c r="S287" s="12"/>
      <c r="T287" s="13"/>
      <c r="V287" s="26"/>
    </row>
    <row r="288" spans="2:22" s="7" customFormat="1" ht="49.5" hidden="1" customHeight="1">
      <c r="B288" s="139" t="s">
        <v>137</v>
      </c>
      <c r="C288" s="85">
        <f t="shared" si="17"/>
        <v>5</v>
      </c>
      <c r="D288" s="91" t="s">
        <v>76</v>
      </c>
      <c r="E288" s="80"/>
      <c r="F288" s="80"/>
      <c r="G288" s="80"/>
      <c r="H288" s="134">
        <f t="shared" si="16"/>
        <v>0</v>
      </c>
      <c r="I288" s="115"/>
      <c r="J288" s="116"/>
      <c r="K288" s="117"/>
      <c r="L288" s="116"/>
      <c r="M288" s="118"/>
      <c r="N288" s="96"/>
      <c r="O288" s="96"/>
      <c r="P288" s="97"/>
      <c r="Q288" s="97"/>
      <c r="R288" s="12"/>
      <c r="S288" s="12"/>
      <c r="T288" s="13"/>
      <c r="V288" s="26"/>
    </row>
    <row r="289" spans="2:22" s="7" customFormat="1" ht="49.5" hidden="1" customHeight="1">
      <c r="B289" s="139" t="s">
        <v>137</v>
      </c>
      <c r="C289" s="85">
        <f t="shared" si="17"/>
        <v>6</v>
      </c>
      <c r="D289" s="91" t="s">
        <v>76</v>
      </c>
      <c r="E289" s="80"/>
      <c r="F289" s="80"/>
      <c r="G289" s="80"/>
      <c r="H289" s="134">
        <f t="shared" si="16"/>
        <v>0</v>
      </c>
      <c r="I289" s="115"/>
      <c r="J289" s="116"/>
      <c r="K289" s="117"/>
      <c r="L289" s="116"/>
      <c r="M289" s="118"/>
      <c r="N289" s="96"/>
      <c r="O289" s="96"/>
      <c r="P289" s="97"/>
      <c r="Q289" s="97"/>
      <c r="R289" s="12"/>
      <c r="S289" s="12"/>
      <c r="T289" s="13"/>
      <c r="V289" s="26"/>
    </row>
    <row r="290" spans="2:22" s="7" customFormat="1" ht="49.5" hidden="1" customHeight="1">
      <c r="B290" s="139" t="s">
        <v>137</v>
      </c>
      <c r="C290" s="85">
        <f t="shared" si="17"/>
        <v>7</v>
      </c>
      <c r="D290" s="91" t="s">
        <v>76</v>
      </c>
      <c r="E290" s="80"/>
      <c r="F290" s="80"/>
      <c r="G290" s="80"/>
      <c r="H290" s="134">
        <f t="shared" si="16"/>
        <v>0</v>
      </c>
      <c r="I290" s="115"/>
      <c r="J290" s="116"/>
      <c r="K290" s="117"/>
      <c r="L290" s="116"/>
      <c r="M290" s="118"/>
      <c r="N290" s="96"/>
      <c r="O290" s="96"/>
      <c r="P290" s="97"/>
      <c r="Q290" s="97"/>
      <c r="R290" s="10"/>
      <c r="S290" s="10"/>
      <c r="T290" s="11"/>
      <c r="V290" s="26"/>
    </row>
    <row r="291" spans="2:22" s="7" customFormat="1" ht="49.5" hidden="1" customHeight="1">
      <c r="B291" s="139" t="s">
        <v>137</v>
      </c>
      <c r="C291" s="85">
        <f t="shared" si="17"/>
        <v>8</v>
      </c>
      <c r="D291" s="91" t="s">
        <v>76</v>
      </c>
      <c r="E291" s="80"/>
      <c r="F291" s="80"/>
      <c r="G291" s="80"/>
      <c r="H291" s="134">
        <f t="shared" si="16"/>
        <v>0</v>
      </c>
      <c r="I291" s="115"/>
      <c r="J291" s="116"/>
      <c r="K291" s="117"/>
      <c r="L291" s="116"/>
      <c r="M291" s="118"/>
      <c r="N291" s="96"/>
      <c r="O291" s="96"/>
      <c r="P291" s="97"/>
      <c r="Q291" s="97"/>
      <c r="R291" s="12"/>
      <c r="S291" s="12"/>
      <c r="T291" s="13"/>
      <c r="V291" s="26"/>
    </row>
    <row r="292" spans="2:22" s="7" customFormat="1" ht="49.5" hidden="1" customHeight="1">
      <c r="B292" s="139" t="s">
        <v>137</v>
      </c>
      <c r="C292" s="85">
        <f t="shared" si="17"/>
        <v>9</v>
      </c>
      <c r="D292" s="91" t="s">
        <v>76</v>
      </c>
      <c r="E292" s="80"/>
      <c r="F292" s="80"/>
      <c r="G292" s="80"/>
      <c r="H292" s="134">
        <f t="shared" si="16"/>
        <v>0</v>
      </c>
      <c r="I292" s="115"/>
      <c r="J292" s="116"/>
      <c r="K292" s="117"/>
      <c r="L292" s="116"/>
      <c r="M292" s="118"/>
      <c r="N292" s="96"/>
      <c r="O292" s="96"/>
      <c r="P292" s="97"/>
      <c r="Q292" s="97"/>
      <c r="R292" s="12"/>
      <c r="S292" s="12"/>
      <c r="T292" s="13"/>
      <c r="V292" s="26"/>
    </row>
    <row r="293" spans="2:22" s="7" customFormat="1" ht="49.5" hidden="1" customHeight="1">
      <c r="B293" s="139" t="s">
        <v>137</v>
      </c>
      <c r="C293" s="85">
        <f t="shared" si="17"/>
        <v>10</v>
      </c>
      <c r="D293" s="91" t="s">
        <v>76</v>
      </c>
      <c r="E293" s="80"/>
      <c r="F293" s="80"/>
      <c r="G293" s="80"/>
      <c r="H293" s="134">
        <f t="shared" si="16"/>
        <v>0</v>
      </c>
      <c r="I293" s="115"/>
      <c r="J293" s="116"/>
      <c r="K293" s="117"/>
      <c r="L293" s="116"/>
      <c r="M293" s="118"/>
      <c r="N293" s="96"/>
      <c r="O293" s="96"/>
      <c r="P293" s="97"/>
      <c r="Q293" s="97"/>
      <c r="R293" s="12"/>
      <c r="S293" s="12"/>
      <c r="T293" s="13"/>
      <c r="V293" s="26"/>
    </row>
    <row r="294" spans="2:22" s="7" customFormat="1" ht="49.5" hidden="1" customHeight="1">
      <c r="B294" s="139" t="s">
        <v>137</v>
      </c>
      <c r="C294" s="85">
        <f t="shared" si="17"/>
        <v>11</v>
      </c>
      <c r="D294" s="91" t="s">
        <v>76</v>
      </c>
      <c r="E294" s="80"/>
      <c r="F294" s="80"/>
      <c r="G294" s="80"/>
      <c r="H294" s="134">
        <f t="shared" si="16"/>
        <v>0</v>
      </c>
      <c r="I294" s="115"/>
      <c r="J294" s="116"/>
      <c r="K294" s="117"/>
      <c r="L294" s="116"/>
      <c r="M294" s="118"/>
      <c r="N294" s="96"/>
      <c r="O294" s="96"/>
      <c r="P294" s="97"/>
      <c r="Q294" s="97"/>
      <c r="R294" s="12"/>
      <c r="S294" s="12"/>
      <c r="T294" s="13"/>
      <c r="V294" s="26"/>
    </row>
    <row r="295" spans="2:22" s="7" customFormat="1" ht="49.5" hidden="1" customHeight="1">
      <c r="B295" s="139" t="s">
        <v>137</v>
      </c>
      <c r="C295" s="85">
        <f t="shared" si="17"/>
        <v>12</v>
      </c>
      <c r="D295" s="91" t="s">
        <v>76</v>
      </c>
      <c r="E295" s="80"/>
      <c r="F295" s="80"/>
      <c r="G295" s="80"/>
      <c r="H295" s="134">
        <f t="shared" si="16"/>
        <v>0</v>
      </c>
      <c r="I295" s="115"/>
      <c r="J295" s="116"/>
      <c r="K295" s="117"/>
      <c r="L295" s="116"/>
      <c r="M295" s="118"/>
      <c r="N295" s="96"/>
      <c r="O295" s="96"/>
      <c r="P295" s="97"/>
      <c r="Q295" s="97"/>
      <c r="R295" s="10"/>
      <c r="S295" s="10"/>
      <c r="T295" s="11"/>
      <c r="V295" s="26"/>
    </row>
    <row r="296" spans="2:22" s="7" customFormat="1" ht="49.5" hidden="1" customHeight="1">
      <c r="B296" s="139" t="s">
        <v>137</v>
      </c>
      <c r="C296" s="85">
        <f t="shared" si="17"/>
        <v>13</v>
      </c>
      <c r="D296" s="91" t="s">
        <v>76</v>
      </c>
      <c r="E296" s="80"/>
      <c r="F296" s="80"/>
      <c r="G296" s="80"/>
      <c r="H296" s="134">
        <f t="shared" si="16"/>
        <v>0</v>
      </c>
      <c r="I296" s="115"/>
      <c r="J296" s="116"/>
      <c r="K296" s="117"/>
      <c r="L296" s="116"/>
      <c r="M296" s="118"/>
      <c r="N296" s="96"/>
      <c r="O296" s="96"/>
      <c r="P296" s="97"/>
      <c r="Q296" s="97"/>
      <c r="R296" s="12"/>
      <c r="S296" s="12"/>
      <c r="T296" s="13"/>
      <c r="V296" s="26"/>
    </row>
    <row r="297" spans="2:22" s="7" customFormat="1" ht="49.5" hidden="1" customHeight="1">
      <c r="B297" s="139" t="s">
        <v>137</v>
      </c>
      <c r="C297" s="85">
        <f t="shared" si="17"/>
        <v>14</v>
      </c>
      <c r="D297" s="91" t="s">
        <v>76</v>
      </c>
      <c r="E297" s="80"/>
      <c r="F297" s="80"/>
      <c r="G297" s="80"/>
      <c r="H297" s="134">
        <f t="shared" si="16"/>
        <v>0</v>
      </c>
      <c r="I297" s="115"/>
      <c r="J297" s="116"/>
      <c r="K297" s="117"/>
      <c r="L297" s="116"/>
      <c r="M297" s="118"/>
      <c r="N297" s="96"/>
      <c r="O297" s="96"/>
      <c r="P297" s="97"/>
      <c r="Q297" s="97"/>
      <c r="R297" s="12"/>
      <c r="S297" s="12"/>
      <c r="T297" s="13"/>
      <c r="V297" s="26"/>
    </row>
    <row r="298" spans="2:22" s="7" customFormat="1" ht="49.5" hidden="1" customHeight="1">
      <c r="B298" s="139" t="s">
        <v>137</v>
      </c>
      <c r="C298" s="85">
        <f t="shared" si="17"/>
        <v>15</v>
      </c>
      <c r="D298" s="91" t="s">
        <v>76</v>
      </c>
      <c r="E298" s="80"/>
      <c r="F298" s="80"/>
      <c r="G298" s="80"/>
      <c r="H298" s="134">
        <f t="shared" si="16"/>
        <v>0</v>
      </c>
      <c r="I298" s="115"/>
      <c r="J298" s="116"/>
      <c r="K298" s="117"/>
      <c r="L298" s="116"/>
      <c r="M298" s="118"/>
      <c r="N298" s="96"/>
      <c r="O298" s="96"/>
      <c r="P298" s="97"/>
      <c r="Q298" s="97"/>
      <c r="R298" s="12"/>
      <c r="S298" s="12"/>
      <c r="T298" s="13"/>
      <c r="V298" s="26"/>
    </row>
    <row r="299" spans="2:22" s="7" customFormat="1" ht="49.5" hidden="1" customHeight="1">
      <c r="B299" s="139" t="s">
        <v>137</v>
      </c>
      <c r="C299" s="85">
        <f t="shared" si="17"/>
        <v>16</v>
      </c>
      <c r="D299" s="91" t="s">
        <v>76</v>
      </c>
      <c r="E299" s="80"/>
      <c r="F299" s="80"/>
      <c r="G299" s="80"/>
      <c r="H299" s="134">
        <f t="shared" si="16"/>
        <v>0</v>
      </c>
      <c r="I299" s="115"/>
      <c r="J299" s="116"/>
      <c r="K299" s="117"/>
      <c r="L299" s="116"/>
      <c r="M299" s="118"/>
      <c r="N299" s="96"/>
      <c r="O299" s="96"/>
      <c r="P299" s="97"/>
      <c r="Q299" s="97"/>
      <c r="R299" s="12"/>
      <c r="S299" s="12"/>
      <c r="T299" s="13"/>
      <c r="V299" s="26"/>
    </row>
    <row r="300" spans="2:22" s="7" customFormat="1" ht="49.5" hidden="1" customHeight="1">
      <c r="B300" s="139" t="s">
        <v>137</v>
      </c>
      <c r="C300" s="85">
        <f t="shared" si="17"/>
        <v>17</v>
      </c>
      <c r="D300" s="91" t="s">
        <v>76</v>
      </c>
      <c r="E300" s="80"/>
      <c r="F300" s="80"/>
      <c r="G300" s="80"/>
      <c r="H300" s="134">
        <f t="shared" si="16"/>
        <v>0</v>
      </c>
      <c r="I300" s="115"/>
      <c r="J300" s="116"/>
      <c r="K300" s="117"/>
      <c r="L300" s="116"/>
      <c r="M300" s="118"/>
      <c r="N300" s="96"/>
      <c r="O300" s="96"/>
      <c r="P300" s="97"/>
      <c r="Q300" s="97"/>
      <c r="R300" s="10"/>
      <c r="S300" s="10"/>
      <c r="T300" s="11"/>
      <c r="V300" s="26"/>
    </row>
    <row r="301" spans="2:22" s="7" customFormat="1" ht="49.5" hidden="1" customHeight="1">
      <c r="B301" s="139" t="s">
        <v>137</v>
      </c>
      <c r="C301" s="85">
        <f t="shared" si="17"/>
        <v>18</v>
      </c>
      <c r="D301" s="91" t="s">
        <v>76</v>
      </c>
      <c r="E301" s="80"/>
      <c r="F301" s="80"/>
      <c r="G301" s="80"/>
      <c r="H301" s="134">
        <f t="shared" si="16"/>
        <v>0</v>
      </c>
      <c r="I301" s="115"/>
      <c r="J301" s="116"/>
      <c r="K301" s="117"/>
      <c r="L301" s="116"/>
      <c r="M301" s="118"/>
      <c r="N301" s="96"/>
      <c r="O301" s="96"/>
      <c r="P301" s="97"/>
      <c r="Q301" s="97"/>
      <c r="R301" s="12"/>
      <c r="S301" s="12"/>
      <c r="T301" s="13"/>
      <c r="V301" s="26"/>
    </row>
    <row r="302" spans="2:22" s="7" customFormat="1" ht="49.5" hidden="1" customHeight="1">
      <c r="B302" s="139" t="s">
        <v>137</v>
      </c>
      <c r="C302" s="85">
        <f t="shared" si="17"/>
        <v>19</v>
      </c>
      <c r="D302" s="91" t="s">
        <v>76</v>
      </c>
      <c r="E302" s="80"/>
      <c r="F302" s="80"/>
      <c r="G302" s="80"/>
      <c r="H302" s="134">
        <f t="shared" si="16"/>
        <v>0</v>
      </c>
      <c r="I302" s="115"/>
      <c r="J302" s="116"/>
      <c r="K302" s="117"/>
      <c r="L302" s="116"/>
      <c r="M302" s="118"/>
      <c r="N302" s="96"/>
      <c r="O302" s="96"/>
      <c r="P302" s="97"/>
      <c r="Q302" s="97"/>
      <c r="R302" s="12"/>
      <c r="S302" s="12"/>
      <c r="T302" s="13"/>
      <c r="V302" s="26"/>
    </row>
    <row r="303" spans="2:22" s="7" customFormat="1" ht="49.5" hidden="1" customHeight="1">
      <c r="B303" s="139" t="s">
        <v>137</v>
      </c>
      <c r="C303" s="85">
        <f t="shared" si="17"/>
        <v>20</v>
      </c>
      <c r="D303" s="91" t="s">
        <v>76</v>
      </c>
      <c r="E303" s="80"/>
      <c r="F303" s="80"/>
      <c r="G303" s="80"/>
      <c r="H303" s="134">
        <f t="shared" si="16"/>
        <v>0</v>
      </c>
      <c r="I303" s="115"/>
      <c r="J303" s="116"/>
      <c r="K303" s="117"/>
      <c r="L303" s="116"/>
      <c r="M303" s="118"/>
      <c r="N303" s="96"/>
      <c r="O303" s="96"/>
      <c r="P303" s="97"/>
      <c r="Q303" s="97"/>
      <c r="R303" s="12"/>
      <c r="S303" s="12"/>
      <c r="T303" s="13"/>
      <c r="V303" s="26"/>
    </row>
    <row r="304" spans="2:22" s="7" customFormat="1" ht="49.5" hidden="1" customHeight="1">
      <c r="B304" s="139" t="s">
        <v>137</v>
      </c>
      <c r="C304" s="85">
        <f t="shared" si="17"/>
        <v>21</v>
      </c>
      <c r="D304" s="91" t="s">
        <v>76</v>
      </c>
      <c r="E304" s="80"/>
      <c r="F304" s="80"/>
      <c r="G304" s="80"/>
      <c r="H304" s="134">
        <f t="shared" si="16"/>
        <v>0</v>
      </c>
      <c r="I304" s="115"/>
      <c r="J304" s="116"/>
      <c r="K304" s="117"/>
      <c r="L304" s="116"/>
      <c r="M304" s="118"/>
      <c r="N304" s="96"/>
      <c r="O304" s="96"/>
      <c r="P304" s="97"/>
      <c r="Q304" s="97"/>
      <c r="R304" s="12"/>
      <c r="S304" s="12"/>
      <c r="T304" s="13"/>
      <c r="V304" s="26"/>
    </row>
    <row r="305" spans="2:22" s="7" customFormat="1" ht="49.5" hidden="1" customHeight="1">
      <c r="B305" s="139" t="s">
        <v>137</v>
      </c>
      <c r="C305" s="85">
        <f t="shared" si="17"/>
        <v>22</v>
      </c>
      <c r="D305" s="91" t="s">
        <v>76</v>
      </c>
      <c r="E305" s="80"/>
      <c r="F305" s="80"/>
      <c r="G305" s="80"/>
      <c r="H305" s="134">
        <f t="shared" si="16"/>
        <v>0</v>
      </c>
      <c r="I305" s="115"/>
      <c r="J305" s="116"/>
      <c r="K305" s="117"/>
      <c r="L305" s="116"/>
      <c r="M305" s="118"/>
      <c r="N305" s="96"/>
      <c r="O305" s="96"/>
      <c r="P305" s="97"/>
      <c r="Q305" s="97"/>
      <c r="R305" s="10"/>
      <c r="S305" s="10"/>
      <c r="T305" s="11"/>
      <c r="V305" s="26"/>
    </row>
    <row r="306" spans="2:22" s="7" customFormat="1" ht="49.5" hidden="1" customHeight="1">
      <c r="B306" s="139" t="s">
        <v>137</v>
      </c>
      <c r="C306" s="85">
        <f t="shared" si="17"/>
        <v>23</v>
      </c>
      <c r="D306" s="91" t="s">
        <v>76</v>
      </c>
      <c r="E306" s="80"/>
      <c r="F306" s="80"/>
      <c r="G306" s="80"/>
      <c r="H306" s="134">
        <f t="shared" si="16"/>
        <v>0</v>
      </c>
      <c r="I306" s="115"/>
      <c r="J306" s="116"/>
      <c r="K306" s="117"/>
      <c r="L306" s="116"/>
      <c r="M306" s="118"/>
      <c r="N306" s="96"/>
      <c r="O306" s="96"/>
      <c r="P306" s="97"/>
      <c r="Q306" s="97"/>
      <c r="R306" s="12"/>
      <c r="S306" s="12"/>
      <c r="T306" s="13"/>
      <c r="V306" s="26"/>
    </row>
    <row r="307" spans="2:22" s="7" customFormat="1" ht="49.5" hidden="1" customHeight="1">
      <c r="B307" s="139" t="s">
        <v>137</v>
      </c>
      <c r="C307" s="85">
        <f t="shared" si="17"/>
        <v>24</v>
      </c>
      <c r="D307" s="91" t="s">
        <v>76</v>
      </c>
      <c r="E307" s="80"/>
      <c r="F307" s="80"/>
      <c r="G307" s="80"/>
      <c r="H307" s="134">
        <f t="shared" si="16"/>
        <v>0</v>
      </c>
      <c r="I307" s="115"/>
      <c r="J307" s="116"/>
      <c r="K307" s="117"/>
      <c r="L307" s="116"/>
      <c r="M307" s="118"/>
      <c r="N307" s="96"/>
      <c r="O307" s="96"/>
      <c r="P307" s="97"/>
      <c r="Q307" s="97"/>
      <c r="R307" s="12"/>
      <c r="S307" s="12"/>
      <c r="T307" s="13"/>
      <c r="V307" s="26"/>
    </row>
    <row r="308" spans="2:22" s="7" customFormat="1" ht="49.5" hidden="1" customHeight="1">
      <c r="B308" s="139" t="s">
        <v>137</v>
      </c>
      <c r="C308" s="85">
        <f t="shared" si="17"/>
        <v>25</v>
      </c>
      <c r="D308" s="91" t="s">
        <v>76</v>
      </c>
      <c r="E308" s="80"/>
      <c r="F308" s="80"/>
      <c r="G308" s="80"/>
      <c r="H308" s="134">
        <f t="shared" si="16"/>
        <v>0</v>
      </c>
      <c r="I308" s="115"/>
      <c r="J308" s="116"/>
      <c r="K308" s="117"/>
      <c r="L308" s="116"/>
      <c r="M308" s="118"/>
      <c r="N308" s="96"/>
      <c r="O308" s="96"/>
      <c r="P308" s="97"/>
      <c r="Q308" s="97"/>
      <c r="R308" s="12"/>
      <c r="S308" s="12"/>
      <c r="T308" s="13"/>
      <c r="V308" s="26"/>
    </row>
    <row r="309" spans="2:22" s="7" customFormat="1" ht="49.5" hidden="1" customHeight="1">
      <c r="B309" s="139" t="s">
        <v>137</v>
      </c>
      <c r="C309" s="85">
        <f t="shared" si="17"/>
        <v>26</v>
      </c>
      <c r="D309" s="91" t="s">
        <v>76</v>
      </c>
      <c r="E309" s="80"/>
      <c r="F309" s="80"/>
      <c r="G309" s="80"/>
      <c r="H309" s="134">
        <f t="shared" si="16"/>
        <v>0</v>
      </c>
      <c r="I309" s="115"/>
      <c r="J309" s="116"/>
      <c r="K309" s="117"/>
      <c r="L309" s="116"/>
      <c r="M309" s="118"/>
      <c r="N309" s="96"/>
      <c r="O309" s="96"/>
      <c r="P309" s="97"/>
      <c r="Q309" s="97"/>
      <c r="R309" s="12"/>
      <c r="S309" s="12"/>
      <c r="T309" s="13"/>
      <c r="V309" s="26"/>
    </row>
    <row r="310" spans="2:22" s="7" customFormat="1" ht="49.5" hidden="1" customHeight="1">
      <c r="B310" s="139" t="s">
        <v>137</v>
      </c>
      <c r="C310" s="85">
        <f t="shared" si="17"/>
        <v>27</v>
      </c>
      <c r="D310" s="91" t="s">
        <v>76</v>
      </c>
      <c r="E310" s="80"/>
      <c r="F310" s="80"/>
      <c r="G310" s="80"/>
      <c r="H310" s="134">
        <f t="shared" si="16"/>
        <v>0</v>
      </c>
      <c r="I310" s="115"/>
      <c r="J310" s="116"/>
      <c r="K310" s="117"/>
      <c r="L310" s="116"/>
      <c r="M310" s="118"/>
      <c r="N310" s="96"/>
      <c r="O310" s="96"/>
      <c r="P310" s="97"/>
      <c r="Q310" s="97"/>
      <c r="R310" s="12"/>
      <c r="S310" s="12"/>
      <c r="T310" s="13"/>
      <c r="V310" s="26"/>
    </row>
    <row r="311" spans="2:22" s="7" customFormat="1" ht="49.5" hidden="1" customHeight="1">
      <c r="B311" s="139" t="s">
        <v>137</v>
      </c>
      <c r="C311" s="85">
        <f t="shared" si="17"/>
        <v>28</v>
      </c>
      <c r="D311" s="91" t="s">
        <v>76</v>
      </c>
      <c r="E311" s="80"/>
      <c r="F311" s="80"/>
      <c r="G311" s="80"/>
      <c r="H311" s="134">
        <f t="shared" si="16"/>
        <v>0</v>
      </c>
      <c r="I311" s="115"/>
      <c r="J311" s="116"/>
      <c r="K311" s="117"/>
      <c r="L311" s="116"/>
      <c r="M311" s="118"/>
      <c r="N311" s="96"/>
      <c r="O311" s="96"/>
      <c r="P311" s="97"/>
      <c r="Q311" s="97"/>
      <c r="R311" s="12"/>
      <c r="S311" s="12"/>
      <c r="T311" s="13"/>
      <c r="V311" s="26"/>
    </row>
    <row r="312" spans="2:22" s="7" customFormat="1" ht="49.5" hidden="1" customHeight="1">
      <c r="B312" s="139" t="s">
        <v>137</v>
      </c>
      <c r="C312" s="85">
        <f t="shared" si="17"/>
        <v>29</v>
      </c>
      <c r="D312" s="91" t="s">
        <v>76</v>
      </c>
      <c r="E312" s="80"/>
      <c r="F312" s="80"/>
      <c r="G312" s="80"/>
      <c r="H312" s="134">
        <f t="shared" si="16"/>
        <v>0</v>
      </c>
      <c r="I312" s="115"/>
      <c r="J312" s="116"/>
      <c r="K312" s="117"/>
      <c r="L312" s="116"/>
      <c r="M312" s="118"/>
      <c r="N312" s="96"/>
      <c r="O312" s="96"/>
      <c r="P312" s="97"/>
      <c r="Q312" s="97"/>
      <c r="R312" s="10"/>
      <c r="S312" s="10"/>
      <c r="T312" s="11"/>
      <c r="V312" s="26"/>
    </row>
    <row r="313" spans="2:22" s="7" customFormat="1" ht="49.5" hidden="1" customHeight="1" thickBot="1">
      <c r="B313" s="140" t="s">
        <v>137</v>
      </c>
      <c r="C313" s="83">
        <f t="shared" si="17"/>
        <v>30</v>
      </c>
      <c r="D313" s="29" t="s">
        <v>76</v>
      </c>
      <c r="E313" s="82"/>
      <c r="F313" s="82"/>
      <c r="G313" s="82"/>
      <c r="H313" s="25">
        <f t="shared" si="16"/>
        <v>0</v>
      </c>
      <c r="I313" s="119"/>
      <c r="J313" s="120"/>
      <c r="K313" s="121"/>
      <c r="L313" s="120"/>
      <c r="M313" s="122"/>
      <c r="N313" s="98"/>
      <c r="O313" s="98"/>
      <c r="P313" s="99"/>
      <c r="Q313" s="99"/>
      <c r="R313" s="12"/>
      <c r="S313" s="12"/>
      <c r="T313" s="13"/>
      <c r="V313" s="26"/>
    </row>
    <row r="314" spans="2:22" s="7" customFormat="1" ht="49.5" customHeight="1" thickTop="1" thickBot="1">
      <c r="B314" s="141" t="s">
        <v>68</v>
      </c>
      <c r="C314" s="17"/>
      <c r="D314" s="92"/>
      <c r="E314" s="137"/>
      <c r="F314" s="137"/>
      <c r="G314" s="137"/>
      <c r="H314" s="18">
        <f>SUM(H284:H313)</f>
        <v>1687500</v>
      </c>
      <c r="I314" s="123"/>
      <c r="J314" s="124"/>
      <c r="K314" s="124"/>
      <c r="L314" s="124"/>
      <c r="M314" s="124"/>
      <c r="N314" s="100"/>
      <c r="O314" s="100"/>
      <c r="P314" s="101"/>
      <c r="Q314" s="101"/>
      <c r="R314" s="8"/>
      <c r="S314" s="8"/>
      <c r="T314" s="9"/>
    </row>
    <row r="315" spans="2:22" s="7" customFormat="1" ht="49.5" customHeight="1" thickTop="1" thickBot="1">
      <c r="B315" s="142" t="s">
        <v>139</v>
      </c>
      <c r="C315" s="84">
        <v>1</v>
      </c>
      <c r="D315" s="28" t="s">
        <v>76</v>
      </c>
      <c r="E315" s="79"/>
      <c r="F315" s="79"/>
      <c r="G315" s="79"/>
      <c r="H315" s="136">
        <f t="shared" ref="H315:H344" si="18">IF(L315&lt;=0,I315*J315,I315*J315*L315)</f>
        <v>13500</v>
      </c>
      <c r="I315" s="110">
        <v>150</v>
      </c>
      <c r="J315" s="111">
        <v>30</v>
      </c>
      <c r="K315" s="112" t="s">
        <v>93</v>
      </c>
      <c r="L315" s="113">
        <v>3</v>
      </c>
      <c r="M315" s="114" t="s">
        <v>75</v>
      </c>
      <c r="N315" s="94" t="s">
        <v>95</v>
      </c>
      <c r="O315" s="94" t="s">
        <v>115</v>
      </c>
      <c r="P315" s="95" t="s">
        <v>128</v>
      </c>
      <c r="Q315" s="95" t="s">
        <v>179</v>
      </c>
      <c r="R315" s="8"/>
      <c r="S315" s="8"/>
      <c r="T315" s="9"/>
      <c r="V315" s="26"/>
    </row>
    <row r="316" spans="2:22" s="7" customFormat="1" ht="49.5" hidden="1" customHeight="1">
      <c r="B316" s="139" t="s">
        <v>139</v>
      </c>
      <c r="C316" s="85">
        <f>C315+1</f>
        <v>2</v>
      </c>
      <c r="D316" s="91" t="s">
        <v>76</v>
      </c>
      <c r="E316" s="80"/>
      <c r="F316" s="80"/>
      <c r="G316" s="80"/>
      <c r="H316" s="134">
        <f t="shared" si="18"/>
        <v>0</v>
      </c>
      <c r="I316" s="115"/>
      <c r="J316" s="116"/>
      <c r="K316" s="117"/>
      <c r="L316" s="116"/>
      <c r="M316" s="118"/>
      <c r="N316" s="96"/>
      <c r="O316" s="96"/>
      <c r="P316" s="97"/>
      <c r="Q316" s="97"/>
      <c r="R316" s="10"/>
      <c r="S316" s="10"/>
      <c r="T316" s="11"/>
      <c r="V316" s="26"/>
    </row>
    <row r="317" spans="2:22" s="7" customFormat="1" ht="49.5" hidden="1" customHeight="1">
      <c r="B317" s="139" t="s">
        <v>139</v>
      </c>
      <c r="C317" s="85">
        <f t="shared" ref="C317:C344" si="19">C316+1</f>
        <v>3</v>
      </c>
      <c r="D317" s="91" t="s">
        <v>76</v>
      </c>
      <c r="E317" s="80"/>
      <c r="F317" s="80"/>
      <c r="G317" s="80"/>
      <c r="H317" s="134">
        <f t="shared" si="18"/>
        <v>0</v>
      </c>
      <c r="I317" s="115"/>
      <c r="J317" s="116"/>
      <c r="K317" s="117"/>
      <c r="L317" s="116"/>
      <c r="M317" s="118"/>
      <c r="N317" s="96"/>
      <c r="O317" s="96"/>
      <c r="P317" s="97"/>
      <c r="Q317" s="97"/>
      <c r="R317" s="12"/>
      <c r="S317" s="12"/>
      <c r="T317" s="13"/>
      <c r="V317" s="26"/>
    </row>
    <row r="318" spans="2:22" s="7" customFormat="1" ht="49.5" hidden="1" customHeight="1">
      <c r="B318" s="139" t="s">
        <v>139</v>
      </c>
      <c r="C318" s="85">
        <f t="shared" si="19"/>
        <v>4</v>
      </c>
      <c r="D318" s="91" t="s">
        <v>76</v>
      </c>
      <c r="E318" s="80"/>
      <c r="F318" s="80"/>
      <c r="G318" s="80"/>
      <c r="H318" s="134">
        <f t="shared" si="18"/>
        <v>0</v>
      </c>
      <c r="I318" s="115"/>
      <c r="J318" s="116"/>
      <c r="K318" s="117"/>
      <c r="L318" s="116"/>
      <c r="M318" s="118"/>
      <c r="N318" s="96"/>
      <c r="O318" s="96"/>
      <c r="P318" s="97"/>
      <c r="Q318" s="97"/>
      <c r="R318" s="12"/>
      <c r="S318" s="12"/>
      <c r="T318" s="13"/>
      <c r="V318" s="26"/>
    </row>
    <row r="319" spans="2:22" s="7" customFormat="1" ht="49.5" hidden="1" customHeight="1">
      <c r="B319" s="139" t="s">
        <v>139</v>
      </c>
      <c r="C319" s="85">
        <f t="shared" si="19"/>
        <v>5</v>
      </c>
      <c r="D319" s="91" t="s">
        <v>76</v>
      </c>
      <c r="E319" s="80"/>
      <c r="F319" s="80"/>
      <c r="G319" s="80"/>
      <c r="H319" s="134">
        <f t="shared" si="18"/>
        <v>0</v>
      </c>
      <c r="I319" s="115"/>
      <c r="J319" s="116"/>
      <c r="K319" s="117"/>
      <c r="L319" s="116"/>
      <c r="M319" s="118"/>
      <c r="N319" s="96"/>
      <c r="O319" s="96"/>
      <c r="P319" s="97"/>
      <c r="Q319" s="97"/>
      <c r="R319" s="12"/>
      <c r="S319" s="12"/>
      <c r="T319" s="13"/>
      <c r="V319" s="26"/>
    </row>
    <row r="320" spans="2:22" s="7" customFormat="1" ht="49.5" hidden="1" customHeight="1">
      <c r="B320" s="139" t="s">
        <v>139</v>
      </c>
      <c r="C320" s="85">
        <f t="shared" si="19"/>
        <v>6</v>
      </c>
      <c r="D320" s="91" t="s">
        <v>76</v>
      </c>
      <c r="E320" s="80"/>
      <c r="F320" s="80"/>
      <c r="G320" s="80"/>
      <c r="H320" s="134">
        <f t="shared" si="18"/>
        <v>0</v>
      </c>
      <c r="I320" s="115"/>
      <c r="J320" s="116"/>
      <c r="K320" s="117"/>
      <c r="L320" s="116"/>
      <c r="M320" s="118"/>
      <c r="N320" s="96"/>
      <c r="O320" s="96"/>
      <c r="P320" s="97"/>
      <c r="Q320" s="97"/>
      <c r="R320" s="12"/>
      <c r="S320" s="12"/>
      <c r="T320" s="13"/>
      <c r="V320" s="26"/>
    </row>
    <row r="321" spans="2:22" s="7" customFormat="1" ht="49.5" hidden="1" customHeight="1">
      <c r="B321" s="139" t="s">
        <v>139</v>
      </c>
      <c r="C321" s="85">
        <f t="shared" si="19"/>
        <v>7</v>
      </c>
      <c r="D321" s="91" t="s">
        <v>76</v>
      </c>
      <c r="E321" s="80"/>
      <c r="F321" s="80"/>
      <c r="G321" s="80"/>
      <c r="H321" s="134">
        <f t="shared" si="18"/>
        <v>0</v>
      </c>
      <c r="I321" s="115"/>
      <c r="J321" s="116"/>
      <c r="K321" s="117"/>
      <c r="L321" s="116"/>
      <c r="M321" s="118"/>
      <c r="N321" s="96"/>
      <c r="O321" s="96"/>
      <c r="P321" s="97"/>
      <c r="Q321" s="97"/>
      <c r="R321" s="10"/>
      <c r="S321" s="10"/>
      <c r="T321" s="11"/>
      <c r="V321" s="26"/>
    </row>
    <row r="322" spans="2:22" s="7" customFormat="1" ht="49.5" hidden="1" customHeight="1">
      <c r="B322" s="139" t="s">
        <v>139</v>
      </c>
      <c r="C322" s="85">
        <f t="shared" si="19"/>
        <v>8</v>
      </c>
      <c r="D322" s="91" t="s">
        <v>76</v>
      </c>
      <c r="E322" s="80"/>
      <c r="F322" s="80"/>
      <c r="G322" s="80"/>
      <c r="H322" s="134">
        <f t="shared" si="18"/>
        <v>0</v>
      </c>
      <c r="I322" s="115"/>
      <c r="J322" s="116"/>
      <c r="K322" s="117"/>
      <c r="L322" s="116"/>
      <c r="M322" s="118"/>
      <c r="N322" s="96"/>
      <c r="O322" s="96"/>
      <c r="P322" s="97"/>
      <c r="Q322" s="97"/>
      <c r="R322" s="12"/>
      <c r="S322" s="12"/>
      <c r="T322" s="13"/>
      <c r="V322" s="26"/>
    </row>
    <row r="323" spans="2:22" s="7" customFormat="1" ht="49.5" hidden="1" customHeight="1">
      <c r="B323" s="139" t="s">
        <v>139</v>
      </c>
      <c r="C323" s="85">
        <f t="shared" si="19"/>
        <v>9</v>
      </c>
      <c r="D323" s="91" t="s">
        <v>76</v>
      </c>
      <c r="E323" s="80"/>
      <c r="F323" s="80"/>
      <c r="G323" s="80"/>
      <c r="H323" s="134">
        <f t="shared" si="18"/>
        <v>0</v>
      </c>
      <c r="I323" s="115"/>
      <c r="J323" s="116"/>
      <c r="K323" s="117"/>
      <c r="L323" s="116"/>
      <c r="M323" s="118"/>
      <c r="N323" s="96"/>
      <c r="O323" s="96"/>
      <c r="P323" s="97"/>
      <c r="Q323" s="97"/>
      <c r="R323" s="12"/>
      <c r="S323" s="12"/>
      <c r="T323" s="13"/>
      <c r="V323" s="26"/>
    </row>
    <row r="324" spans="2:22" s="7" customFormat="1" ht="49.5" hidden="1" customHeight="1">
      <c r="B324" s="139" t="s">
        <v>139</v>
      </c>
      <c r="C324" s="85">
        <f t="shared" si="19"/>
        <v>10</v>
      </c>
      <c r="D324" s="91" t="s">
        <v>76</v>
      </c>
      <c r="E324" s="80"/>
      <c r="F324" s="80"/>
      <c r="G324" s="80"/>
      <c r="H324" s="134">
        <f t="shared" si="18"/>
        <v>0</v>
      </c>
      <c r="I324" s="115"/>
      <c r="J324" s="116"/>
      <c r="K324" s="117"/>
      <c r="L324" s="116"/>
      <c r="M324" s="118"/>
      <c r="N324" s="96"/>
      <c r="O324" s="96"/>
      <c r="P324" s="97"/>
      <c r="Q324" s="97"/>
      <c r="R324" s="12"/>
      <c r="S324" s="12"/>
      <c r="T324" s="13"/>
      <c r="V324" s="26"/>
    </row>
    <row r="325" spans="2:22" s="7" customFormat="1" ht="49.5" hidden="1" customHeight="1">
      <c r="B325" s="139" t="s">
        <v>139</v>
      </c>
      <c r="C325" s="85">
        <f t="shared" si="19"/>
        <v>11</v>
      </c>
      <c r="D325" s="91" t="s">
        <v>76</v>
      </c>
      <c r="E325" s="80"/>
      <c r="F325" s="80"/>
      <c r="G325" s="80"/>
      <c r="H325" s="134">
        <f t="shared" si="18"/>
        <v>0</v>
      </c>
      <c r="I325" s="115"/>
      <c r="J325" s="116"/>
      <c r="K325" s="117"/>
      <c r="L325" s="116"/>
      <c r="M325" s="118"/>
      <c r="N325" s="96"/>
      <c r="O325" s="96"/>
      <c r="P325" s="97"/>
      <c r="Q325" s="97"/>
      <c r="R325" s="12"/>
      <c r="S325" s="12"/>
      <c r="T325" s="13"/>
      <c r="V325" s="26"/>
    </row>
    <row r="326" spans="2:22" s="7" customFormat="1" ht="49.5" hidden="1" customHeight="1">
      <c r="B326" s="139" t="s">
        <v>139</v>
      </c>
      <c r="C326" s="85">
        <f t="shared" si="19"/>
        <v>12</v>
      </c>
      <c r="D326" s="91" t="s">
        <v>76</v>
      </c>
      <c r="E326" s="80"/>
      <c r="F326" s="80"/>
      <c r="G326" s="80"/>
      <c r="H326" s="134">
        <f t="shared" si="18"/>
        <v>0</v>
      </c>
      <c r="I326" s="115"/>
      <c r="J326" s="116"/>
      <c r="K326" s="117"/>
      <c r="L326" s="116"/>
      <c r="M326" s="118"/>
      <c r="N326" s="96"/>
      <c r="O326" s="96"/>
      <c r="P326" s="97"/>
      <c r="Q326" s="97"/>
      <c r="R326" s="10"/>
      <c r="S326" s="10"/>
      <c r="T326" s="11"/>
      <c r="V326" s="26"/>
    </row>
    <row r="327" spans="2:22" s="7" customFormat="1" ht="49.5" hidden="1" customHeight="1">
      <c r="B327" s="139" t="s">
        <v>139</v>
      </c>
      <c r="C327" s="85">
        <f t="shared" si="19"/>
        <v>13</v>
      </c>
      <c r="D327" s="91" t="s">
        <v>76</v>
      </c>
      <c r="E327" s="80"/>
      <c r="F327" s="80"/>
      <c r="G327" s="80"/>
      <c r="H327" s="134">
        <f t="shared" si="18"/>
        <v>0</v>
      </c>
      <c r="I327" s="115"/>
      <c r="J327" s="116"/>
      <c r="K327" s="117"/>
      <c r="L327" s="116"/>
      <c r="M327" s="118"/>
      <c r="N327" s="96"/>
      <c r="O327" s="96"/>
      <c r="P327" s="97"/>
      <c r="Q327" s="97"/>
      <c r="R327" s="12"/>
      <c r="S327" s="12"/>
      <c r="T327" s="13"/>
      <c r="V327" s="26"/>
    </row>
    <row r="328" spans="2:22" s="7" customFormat="1" ht="49.5" hidden="1" customHeight="1">
      <c r="B328" s="139" t="s">
        <v>139</v>
      </c>
      <c r="C328" s="85">
        <f t="shared" si="19"/>
        <v>14</v>
      </c>
      <c r="D328" s="91" t="s">
        <v>76</v>
      </c>
      <c r="E328" s="80"/>
      <c r="F328" s="80"/>
      <c r="G328" s="80"/>
      <c r="H328" s="134">
        <f t="shared" si="18"/>
        <v>0</v>
      </c>
      <c r="I328" s="115"/>
      <c r="J328" s="116"/>
      <c r="K328" s="117"/>
      <c r="L328" s="116"/>
      <c r="M328" s="118"/>
      <c r="N328" s="96"/>
      <c r="O328" s="96"/>
      <c r="P328" s="97"/>
      <c r="Q328" s="97"/>
      <c r="R328" s="12"/>
      <c r="S328" s="12"/>
      <c r="T328" s="13"/>
      <c r="V328" s="26"/>
    </row>
    <row r="329" spans="2:22" s="7" customFormat="1" ht="49.5" hidden="1" customHeight="1">
      <c r="B329" s="139" t="s">
        <v>139</v>
      </c>
      <c r="C329" s="85">
        <f t="shared" si="19"/>
        <v>15</v>
      </c>
      <c r="D329" s="91" t="s">
        <v>76</v>
      </c>
      <c r="E329" s="80"/>
      <c r="F329" s="80"/>
      <c r="G329" s="80"/>
      <c r="H329" s="134">
        <f t="shared" si="18"/>
        <v>0</v>
      </c>
      <c r="I329" s="115"/>
      <c r="J329" s="116"/>
      <c r="K329" s="117"/>
      <c r="L329" s="116"/>
      <c r="M329" s="118"/>
      <c r="N329" s="96"/>
      <c r="O329" s="96"/>
      <c r="P329" s="97"/>
      <c r="Q329" s="97"/>
      <c r="R329" s="12"/>
      <c r="S329" s="12"/>
      <c r="T329" s="13"/>
      <c r="V329" s="26"/>
    </row>
    <row r="330" spans="2:22" s="7" customFormat="1" ht="49.5" hidden="1" customHeight="1">
      <c r="B330" s="139" t="s">
        <v>139</v>
      </c>
      <c r="C330" s="85">
        <f t="shared" si="19"/>
        <v>16</v>
      </c>
      <c r="D330" s="91" t="s">
        <v>76</v>
      </c>
      <c r="E330" s="80"/>
      <c r="F330" s="80"/>
      <c r="G330" s="80"/>
      <c r="H330" s="134">
        <f t="shared" si="18"/>
        <v>0</v>
      </c>
      <c r="I330" s="115"/>
      <c r="J330" s="116"/>
      <c r="K330" s="117"/>
      <c r="L330" s="116"/>
      <c r="M330" s="118"/>
      <c r="N330" s="96"/>
      <c r="O330" s="96"/>
      <c r="P330" s="97"/>
      <c r="Q330" s="97"/>
      <c r="R330" s="12"/>
      <c r="S330" s="12"/>
      <c r="T330" s="13"/>
      <c r="V330" s="26"/>
    </row>
    <row r="331" spans="2:22" s="7" customFormat="1" ht="49.5" hidden="1" customHeight="1">
      <c r="B331" s="139" t="s">
        <v>139</v>
      </c>
      <c r="C331" s="85">
        <f t="shared" si="19"/>
        <v>17</v>
      </c>
      <c r="D331" s="91" t="s">
        <v>76</v>
      </c>
      <c r="E331" s="80"/>
      <c r="F331" s="80"/>
      <c r="G331" s="80"/>
      <c r="H331" s="134">
        <f t="shared" si="18"/>
        <v>0</v>
      </c>
      <c r="I331" s="115"/>
      <c r="J331" s="116"/>
      <c r="K331" s="117"/>
      <c r="L331" s="116"/>
      <c r="M331" s="118"/>
      <c r="N331" s="96"/>
      <c r="O331" s="96"/>
      <c r="P331" s="97"/>
      <c r="Q331" s="97"/>
      <c r="R331" s="10"/>
      <c r="S331" s="10"/>
      <c r="T331" s="11"/>
      <c r="V331" s="26"/>
    </row>
    <row r="332" spans="2:22" s="7" customFormat="1" ht="49.5" hidden="1" customHeight="1">
      <c r="B332" s="139" t="s">
        <v>139</v>
      </c>
      <c r="C332" s="85">
        <f t="shared" si="19"/>
        <v>18</v>
      </c>
      <c r="D332" s="91" t="s">
        <v>76</v>
      </c>
      <c r="E332" s="80"/>
      <c r="F332" s="80"/>
      <c r="G332" s="80"/>
      <c r="H332" s="134">
        <f t="shared" si="18"/>
        <v>0</v>
      </c>
      <c r="I332" s="115"/>
      <c r="J332" s="116"/>
      <c r="K332" s="117"/>
      <c r="L332" s="116"/>
      <c r="M332" s="118"/>
      <c r="N332" s="96"/>
      <c r="O332" s="96"/>
      <c r="P332" s="97"/>
      <c r="Q332" s="97"/>
      <c r="R332" s="12"/>
      <c r="S332" s="12"/>
      <c r="T332" s="13"/>
      <c r="V332" s="26"/>
    </row>
    <row r="333" spans="2:22" s="7" customFormat="1" ht="49.5" hidden="1" customHeight="1">
      <c r="B333" s="139" t="s">
        <v>139</v>
      </c>
      <c r="C333" s="85">
        <f t="shared" si="19"/>
        <v>19</v>
      </c>
      <c r="D333" s="91" t="s">
        <v>76</v>
      </c>
      <c r="E333" s="80"/>
      <c r="F333" s="80"/>
      <c r="G333" s="80"/>
      <c r="H333" s="134">
        <f t="shared" si="18"/>
        <v>0</v>
      </c>
      <c r="I333" s="115"/>
      <c r="J333" s="116"/>
      <c r="K333" s="117"/>
      <c r="L333" s="116"/>
      <c r="M333" s="118"/>
      <c r="N333" s="96"/>
      <c r="O333" s="96"/>
      <c r="P333" s="97"/>
      <c r="Q333" s="97"/>
      <c r="R333" s="12"/>
      <c r="S333" s="12"/>
      <c r="T333" s="13"/>
      <c r="V333" s="26"/>
    </row>
    <row r="334" spans="2:22" s="7" customFormat="1" ht="49.5" hidden="1" customHeight="1">
      <c r="B334" s="139" t="s">
        <v>139</v>
      </c>
      <c r="C334" s="85">
        <f t="shared" si="19"/>
        <v>20</v>
      </c>
      <c r="D334" s="91" t="s">
        <v>76</v>
      </c>
      <c r="E334" s="80"/>
      <c r="F334" s="80"/>
      <c r="G334" s="80"/>
      <c r="H334" s="134">
        <f t="shared" si="18"/>
        <v>0</v>
      </c>
      <c r="I334" s="115"/>
      <c r="J334" s="116"/>
      <c r="K334" s="117"/>
      <c r="L334" s="116"/>
      <c r="M334" s="118"/>
      <c r="N334" s="96"/>
      <c r="O334" s="96"/>
      <c r="P334" s="97"/>
      <c r="Q334" s="97"/>
      <c r="R334" s="12"/>
      <c r="S334" s="12"/>
      <c r="T334" s="13"/>
      <c r="V334" s="26"/>
    </row>
    <row r="335" spans="2:22" s="7" customFormat="1" ht="49.5" hidden="1" customHeight="1">
      <c r="B335" s="139" t="s">
        <v>139</v>
      </c>
      <c r="C335" s="85">
        <f t="shared" si="19"/>
        <v>21</v>
      </c>
      <c r="D335" s="91" t="s">
        <v>76</v>
      </c>
      <c r="E335" s="80"/>
      <c r="F335" s="80"/>
      <c r="G335" s="80"/>
      <c r="H335" s="134">
        <f t="shared" si="18"/>
        <v>0</v>
      </c>
      <c r="I335" s="115"/>
      <c r="J335" s="116"/>
      <c r="K335" s="117"/>
      <c r="L335" s="116"/>
      <c r="M335" s="118"/>
      <c r="N335" s="96"/>
      <c r="O335" s="96"/>
      <c r="P335" s="97"/>
      <c r="Q335" s="97"/>
      <c r="R335" s="12"/>
      <c r="S335" s="12"/>
      <c r="T335" s="13"/>
      <c r="V335" s="26"/>
    </row>
    <row r="336" spans="2:22" s="7" customFormat="1" ht="49.5" hidden="1" customHeight="1">
      <c r="B336" s="139" t="s">
        <v>139</v>
      </c>
      <c r="C336" s="85">
        <f t="shared" si="19"/>
        <v>22</v>
      </c>
      <c r="D336" s="91" t="s">
        <v>76</v>
      </c>
      <c r="E336" s="80"/>
      <c r="F336" s="80"/>
      <c r="G336" s="80"/>
      <c r="H336" s="134">
        <f t="shared" si="18"/>
        <v>0</v>
      </c>
      <c r="I336" s="115"/>
      <c r="J336" s="116"/>
      <c r="K336" s="117"/>
      <c r="L336" s="116"/>
      <c r="M336" s="118"/>
      <c r="N336" s="96"/>
      <c r="O336" s="96"/>
      <c r="P336" s="97"/>
      <c r="Q336" s="97"/>
      <c r="R336" s="10"/>
      <c r="S336" s="10"/>
      <c r="T336" s="11"/>
      <c r="V336" s="26"/>
    </row>
    <row r="337" spans="2:22" s="7" customFormat="1" ht="49.5" hidden="1" customHeight="1">
      <c r="B337" s="139" t="s">
        <v>139</v>
      </c>
      <c r="C337" s="85">
        <f t="shared" si="19"/>
        <v>23</v>
      </c>
      <c r="D337" s="91" t="s">
        <v>76</v>
      </c>
      <c r="E337" s="80"/>
      <c r="F337" s="80"/>
      <c r="G337" s="80"/>
      <c r="H337" s="134">
        <f t="shared" si="18"/>
        <v>0</v>
      </c>
      <c r="I337" s="115"/>
      <c r="J337" s="116"/>
      <c r="K337" s="117"/>
      <c r="L337" s="116"/>
      <c r="M337" s="118"/>
      <c r="N337" s="96"/>
      <c r="O337" s="96"/>
      <c r="P337" s="97"/>
      <c r="Q337" s="97"/>
      <c r="R337" s="12"/>
      <c r="S337" s="12"/>
      <c r="T337" s="13"/>
      <c r="V337" s="26"/>
    </row>
    <row r="338" spans="2:22" s="7" customFormat="1" ht="49.5" hidden="1" customHeight="1">
      <c r="B338" s="139" t="s">
        <v>139</v>
      </c>
      <c r="C338" s="85">
        <f t="shared" si="19"/>
        <v>24</v>
      </c>
      <c r="D338" s="91" t="s">
        <v>76</v>
      </c>
      <c r="E338" s="80"/>
      <c r="F338" s="80"/>
      <c r="G338" s="80"/>
      <c r="H338" s="134">
        <f t="shared" si="18"/>
        <v>0</v>
      </c>
      <c r="I338" s="115"/>
      <c r="J338" s="116"/>
      <c r="K338" s="117"/>
      <c r="L338" s="116"/>
      <c r="M338" s="118"/>
      <c r="N338" s="96"/>
      <c r="O338" s="96"/>
      <c r="P338" s="97"/>
      <c r="Q338" s="97"/>
      <c r="R338" s="12"/>
      <c r="S338" s="12"/>
      <c r="T338" s="13"/>
      <c r="V338" s="26"/>
    </row>
    <row r="339" spans="2:22" s="7" customFormat="1" ht="49.5" hidden="1" customHeight="1">
      <c r="B339" s="139" t="s">
        <v>139</v>
      </c>
      <c r="C339" s="85">
        <f t="shared" si="19"/>
        <v>25</v>
      </c>
      <c r="D339" s="91" t="s">
        <v>76</v>
      </c>
      <c r="E339" s="80"/>
      <c r="F339" s="80"/>
      <c r="G339" s="80"/>
      <c r="H339" s="134">
        <f t="shared" si="18"/>
        <v>0</v>
      </c>
      <c r="I339" s="115"/>
      <c r="J339" s="116"/>
      <c r="K339" s="117"/>
      <c r="L339" s="116"/>
      <c r="M339" s="118"/>
      <c r="N339" s="96"/>
      <c r="O339" s="96"/>
      <c r="P339" s="97"/>
      <c r="Q339" s="97"/>
      <c r="R339" s="12"/>
      <c r="S339" s="12"/>
      <c r="T339" s="13"/>
      <c r="V339" s="26"/>
    </row>
    <row r="340" spans="2:22" s="7" customFormat="1" ht="49.5" hidden="1" customHeight="1">
      <c r="B340" s="139" t="s">
        <v>139</v>
      </c>
      <c r="C340" s="85">
        <f t="shared" si="19"/>
        <v>26</v>
      </c>
      <c r="D340" s="91" t="s">
        <v>76</v>
      </c>
      <c r="E340" s="80"/>
      <c r="F340" s="80"/>
      <c r="G340" s="80"/>
      <c r="H340" s="134">
        <f t="shared" si="18"/>
        <v>0</v>
      </c>
      <c r="I340" s="115"/>
      <c r="J340" s="116"/>
      <c r="K340" s="117"/>
      <c r="L340" s="116"/>
      <c r="M340" s="118"/>
      <c r="N340" s="96"/>
      <c r="O340" s="96"/>
      <c r="P340" s="97"/>
      <c r="Q340" s="97"/>
      <c r="R340" s="12"/>
      <c r="S340" s="12"/>
      <c r="T340" s="13"/>
      <c r="V340" s="26"/>
    </row>
    <row r="341" spans="2:22" s="7" customFormat="1" ht="49.5" hidden="1" customHeight="1">
      <c r="B341" s="139" t="s">
        <v>139</v>
      </c>
      <c r="C341" s="85">
        <f t="shared" si="19"/>
        <v>27</v>
      </c>
      <c r="D341" s="91" t="s">
        <v>76</v>
      </c>
      <c r="E341" s="80"/>
      <c r="F341" s="80"/>
      <c r="G341" s="80"/>
      <c r="H341" s="134">
        <f t="shared" si="18"/>
        <v>0</v>
      </c>
      <c r="I341" s="115"/>
      <c r="J341" s="116"/>
      <c r="K341" s="117"/>
      <c r="L341" s="116"/>
      <c r="M341" s="118"/>
      <c r="N341" s="96"/>
      <c r="O341" s="96"/>
      <c r="P341" s="97"/>
      <c r="Q341" s="97"/>
      <c r="R341" s="12"/>
      <c r="S341" s="12"/>
      <c r="T341" s="13"/>
      <c r="V341" s="26"/>
    </row>
    <row r="342" spans="2:22" s="7" customFormat="1" ht="49.5" hidden="1" customHeight="1">
      <c r="B342" s="139" t="s">
        <v>139</v>
      </c>
      <c r="C342" s="85">
        <f t="shared" si="19"/>
        <v>28</v>
      </c>
      <c r="D342" s="91" t="s">
        <v>76</v>
      </c>
      <c r="E342" s="80"/>
      <c r="F342" s="80"/>
      <c r="G342" s="80"/>
      <c r="H342" s="134">
        <f t="shared" si="18"/>
        <v>0</v>
      </c>
      <c r="I342" s="115"/>
      <c r="J342" s="116"/>
      <c r="K342" s="117"/>
      <c r="L342" s="116"/>
      <c r="M342" s="118"/>
      <c r="N342" s="96"/>
      <c r="O342" s="96"/>
      <c r="P342" s="97"/>
      <c r="Q342" s="97"/>
      <c r="R342" s="12"/>
      <c r="S342" s="12"/>
      <c r="T342" s="13"/>
      <c r="V342" s="26"/>
    </row>
    <row r="343" spans="2:22" s="7" customFormat="1" ht="49.5" hidden="1" customHeight="1">
      <c r="B343" s="139" t="s">
        <v>139</v>
      </c>
      <c r="C343" s="85">
        <f t="shared" si="19"/>
        <v>29</v>
      </c>
      <c r="D343" s="91" t="s">
        <v>76</v>
      </c>
      <c r="E343" s="80"/>
      <c r="F343" s="80"/>
      <c r="G343" s="80"/>
      <c r="H343" s="134">
        <f t="shared" si="18"/>
        <v>0</v>
      </c>
      <c r="I343" s="115"/>
      <c r="J343" s="116"/>
      <c r="K343" s="117"/>
      <c r="L343" s="116"/>
      <c r="M343" s="118"/>
      <c r="N343" s="96"/>
      <c r="O343" s="96"/>
      <c r="P343" s="97"/>
      <c r="Q343" s="97"/>
      <c r="R343" s="10"/>
      <c r="S343" s="10"/>
      <c r="T343" s="11"/>
      <c r="V343" s="26"/>
    </row>
    <row r="344" spans="2:22" s="7" customFormat="1" ht="49.5" hidden="1" customHeight="1" thickBot="1">
      <c r="B344" s="140" t="s">
        <v>139</v>
      </c>
      <c r="C344" s="83">
        <f t="shared" si="19"/>
        <v>30</v>
      </c>
      <c r="D344" s="29" t="s">
        <v>76</v>
      </c>
      <c r="E344" s="82"/>
      <c r="F344" s="82"/>
      <c r="G344" s="82"/>
      <c r="H344" s="25">
        <f t="shared" si="18"/>
        <v>0</v>
      </c>
      <c r="I344" s="119"/>
      <c r="J344" s="120"/>
      <c r="K344" s="121"/>
      <c r="L344" s="120"/>
      <c r="M344" s="122"/>
      <c r="N344" s="98"/>
      <c r="O344" s="98"/>
      <c r="P344" s="99"/>
      <c r="Q344" s="99"/>
      <c r="R344" s="12"/>
      <c r="S344" s="12"/>
      <c r="T344" s="13"/>
      <c r="V344" s="26"/>
    </row>
    <row r="345" spans="2:22" s="7" customFormat="1" ht="49.5" customHeight="1" thickTop="1" thickBot="1">
      <c r="B345" s="141" t="s">
        <v>68</v>
      </c>
      <c r="C345" s="17"/>
      <c r="D345" s="92"/>
      <c r="E345" s="137"/>
      <c r="F345" s="137"/>
      <c r="G345" s="137"/>
      <c r="H345" s="18">
        <f>SUM(H315:H344)</f>
        <v>13500</v>
      </c>
      <c r="I345" s="123"/>
      <c r="J345" s="124"/>
      <c r="K345" s="124"/>
      <c r="L345" s="124"/>
      <c r="M345" s="124"/>
      <c r="N345" s="100"/>
      <c r="O345" s="100"/>
      <c r="P345" s="101"/>
      <c r="Q345" s="101"/>
      <c r="R345" s="8"/>
      <c r="S345" s="8"/>
      <c r="T345" s="9"/>
    </row>
    <row r="346" spans="2:22" s="7" customFormat="1" ht="49.5" customHeight="1" thickTop="1">
      <c r="B346" s="142" t="s">
        <v>140</v>
      </c>
      <c r="C346" s="84">
        <v>1</v>
      </c>
      <c r="D346" s="28" t="s">
        <v>76</v>
      </c>
      <c r="E346" s="79"/>
      <c r="F346" s="79"/>
      <c r="G346" s="79"/>
      <c r="H346" s="136">
        <f>IF(L346&lt;=0,I346*J346,I346*J346*L346)</f>
        <v>150000</v>
      </c>
      <c r="I346" s="110">
        <v>150000</v>
      </c>
      <c r="J346" s="111">
        <v>1</v>
      </c>
      <c r="K346" s="112" t="s">
        <v>96</v>
      </c>
      <c r="L346" s="113"/>
      <c r="M346" s="114"/>
      <c r="N346" s="94" t="s">
        <v>176</v>
      </c>
      <c r="O346" s="94" t="s">
        <v>115</v>
      </c>
      <c r="P346" s="95" t="s">
        <v>121</v>
      </c>
      <c r="Q346" s="95" t="s">
        <v>97</v>
      </c>
      <c r="R346" s="8"/>
      <c r="S346" s="8"/>
      <c r="T346" s="9"/>
    </row>
    <row r="347" spans="2:22" s="7" customFormat="1" ht="49.5" customHeight="1">
      <c r="B347" s="139" t="s">
        <v>140</v>
      </c>
      <c r="C347" s="85">
        <f>C346+1</f>
        <v>2</v>
      </c>
      <c r="D347" s="91" t="s">
        <v>76</v>
      </c>
      <c r="E347" s="80"/>
      <c r="F347" s="80"/>
      <c r="G347" s="80"/>
      <c r="H347" s="134">
        <f t="shared" ref="H347:H445" si="20">IF(L347&lt;=0,I347*J347,I347*J347*L347)</f>
        <v>250000</v>
      </c>
      <c r="I347" s="115">
        <v>50000</v>
      </c>
      <c r="J347" s="116">
        <v>1</v>
      </c>
      <c r="K347" s="117" t="s">
        <v>66</v>
      </c>
      <c r="L347" s="116">
        <v>5</v>
      </c>
      <c r="M347" s="118" t="s">
        <v>98</v>
      </c>
      <c r="N347" s="132" t="s">
        <v>177</v>
      </c>
      <c r="O347" s="96" t="s">
        <v>85</v>
      </c>
      <c r="P347" s="97" t="s">
        <v>126</v>
      </c>
      <c r="Q347" s="97" t="s">
        <v>178</v>
      </c>
      <c r="R347" s="10"/>
      <c r="S347" s="10"/>
      <c r="T347" s="11"/>
    </row>
    <row r="348" spans="2:22" s="7" customFormat="1" ht="49.5" customHeight="1" thickBot="1">
      <c r="B348" s="139" t="s">
        <v>140</v>
      </c>
      <c r="C348" s="85">
        <f t="shared" ref="C348:C411" si="21">C347+1</f>
        <v>3</v>
      </c>
      <c r="D348" s="91" t="s">
        <v>76</v>
      </c>
      <c r="E348" s="80"/>
      <c r="F348" s="80"/>
      <c r="G348" s="80"/>
      <c r="H348" s="134">
        <f t="shared" si="20"/>
        <v>108000</v>
      </c>
      <c r="I348" s="115">
        <v>12000</v>
      </c>
      <c r="J348" s="116">
        <v>3</v>
      </c>
      <c r="K348" s="117" t="s">
        <v>99</v>
      </c>
      <c r="L348" s="116">
        <v>3</v>
      </c>
      <c r="M348" s="118" t="s">
        <v>98</v>
      </c>
      <c r="N348" s="96" t="s">
        <v>100</v>
      </c>
      <c r="O348" s="96" t="s">
        <v>115</v>
      </c>
      <c r="P348" s="97" t="s">
        <v>121</v>
      </c>
      <c r="Q348" s="97" t="s">
        <v>101</v>
      </c>
      <c r="R348" s="12"/>
      <c r="S348" s="12"/>
      <c r="T348" s="13"/>
      <c r="V348" s="26"/>
    </row>
    <row r="349" spans="2:22" s="7" customFormat="1" ht="49.5" hidden="1" customHeight="1">
      <c r="B349" s="139" t="s">
        <v>140</v>
      </c>
      <c r="C349" s="85">
        <f t="shared" si="21"/>
        <v>4</v>
      </c>
      <c r="D349" s="91" t="s">
        <v>76</v>
      </c>
      <c r="E349" s="80"/>
      <c r="F349" s="80"/>
      <c r="G349" s="80"/>
      <c r="H349" s="134">
        <f t="shared" si="20"/>
        <v>0</v>
      </c>
      <c r="I349" s="115"/>
      <c r="J349" s="116"/>
      <c r="K349" s="117"/>
      <c r="L349" s="116"/>
      <c r="M349" s="118"/>
      <c r="N349" s="96"/>
      <c r="O349" s="96"/>
      <c r="P349" s="97"/>
      <c r="Q349" s="97"/>
      <c r="R349" s="12"/>
      <c r="S349" s="12"/>
      <c r="T349" s="13"/>
      <c r="V349" s="26"/>
    </row>
    <row r="350" spans="2:22" s="7" customFormat="1" ht="49.5" hidden="1" customHeight="1">
      <c r="B350" s="139" t="s">
        <v>140</v>
      </c>
      <c r="C350" s="85">
        <f t="shared" si="21"/>
        <v>5</v>
      </c>
      <c r="D350" s="91" t="s">
        <v>76</v>
      </c>
      <c r="E350" s="80"/>
      <c r="F350" s="80"/>
      <c r="G350" s="80"/>
      <c r="H350" s="134">
        <f t="shared" si="20"/>
        <v>0</v>
      </c>
      <c r="I350" s="115"/>
      <c r="J350" s="116"/>
      <c r="K350" s="117"/>
      <c r="L350" s="116"/>
      <c r="M350" s="118"/>
      <c r="N350" s="96"/>
      <c r="O350" s="96"/>
      <c r="P350" s="97"/>
      <c r="Q350" s="97"/>
      <c r="R350" s="12"/>
      <c r="S350" s="12"/>
      <c r="T350" s="13"/>
      <c r="V350" s="26"/>
    </row>
    <row r="351" spans="2:22" s="7" customFormat="1" ht="49.5" hidden="1" customHeight="1">
      <c r="B351" s="139" t="s">
        <v>140</v>
      </c>
      <c r="C351" s="85">
        <f t="shared" si="21"/>
        <v>6</v>
      </c>
      <c r="D351" s="91" t="s">
        <v>76</v>
      </c>
      <c r="E351" s="80"/>
      <c r="F351" s="80"/>
      <c r="G351" s="80"/>
      <c r="H351" s="134">
        <f t="shared" si="20"/>
        <v>0</v>
      </c>
      <c r="I351" s="115"/>
      <c r="J351" s="116"/>
      <c r="K351" s="117"/>
      <c r="L351" s="116"/>
      <c r="M351" s="118"/>
      <c r="N351" s="96"/>
      <c r="O351" s="96"/>
      <c r="P351" s="97"/>
      <c r="Q351" s="97"/>
      <c r="R351" s="12"/>
      <c r="S351" s="12"/>
      <c r="T351" s="13"/>
      <c r="V351" s="26"/>
    </row>
    <row r="352" spans="2:22" s="7" customFormat="1" ht="49.5" hidden="1" customHeight="1">
      <c r="B352" s="139" t="s">
        <v>140</v>
      </c>
      <c r="C352" s="85">
        <f t="shared" si="21"/>
        <v>7</v>
      </c>
      <c r="D352" s="91" t="s">
        <v>76</v>
      </c>
      <c r="E352" s="80"/>
      <c r="F352" s="80"/>
      <c r="G352" s="80"/>
      <c r="H352" s="134">
        <f t="shared" si="20"/>
        <v>0</v>
      </c>
      <c r="I352" s="115"/>
      <c r="J352" s="116"/>
      <c r="K352" s="117"/>
      <c r="L352" s="116"/>
      <c r="M352" s="118"/>
      <c r="N352" s="96"/>
      <c r="O352" s="96"/>
      <c r="P352" s="97"/>
      <c r="Q352" s="97"/>
      <c r="R352" s="10"/>
      <c r="S352" s="10"/>
      <c r="T352" s="11"/>
      <c r="V352" s="26"/>
    </row>
    <row r="353" spans="2:22" s="7" customFormat="1" ht="49.5" hidden="1" customHeight="1">
      <c r="B353" s="139" t="s">
        <v>140</v>
      </c>
      <c r="C353" s="85">
        <f t="shared" si="21"/>
        <v>8</v>
      </c>
      <c r="D353" s="91" t="s">
        <v>76</v>
      </c>
      <c r="E353" s="80"/>
      <c r="F353" s="80"/>
      <c r="G353" s="80"/>
      <c r="H353" s="134">
        <f t="shared" si="20"/>
        <v>0</v>
      </c>
      <c r="I353" s="115"/>
      <c r="J353" s="116"/>
      <c r="K353" s="117"/>
      <c r="L353" s="116"/>
      <c r="M353" s="118"/>
      <c r="N353" s="96"/>
      <c r="O353" s="96"/>
      <c r="P353" s="97"/>
      <c r="Q353" s="97"/>
      <c r="R353" s="12"/>
      <c r="S353" s="12"/>
      <c r="T353" s="13"/>
      <c r="V353" s="26"/>
    </row>
    <row r="354" spans="2:22" s="7" customFormat="1" ht="49.5" hidden="1" customHeight="1">
      <c r="B354" s="139" t="s">
        <v>140</v>
      </c>
      <c r="C354" s="85">
        <f t="shared" si="21"/>
        <v>9</v>
      </c>
      <c r="D354" s="91" t="s">
        <v>76</v>
      </c>
      <c r="E354" s="80"/>
      <c r="F354" s="80"/>
      <c r="G354" s="80"/>
      <c r="H354" s="134">
        <f t="shared" si="20"/>
        <v>0</v>
      </c>
      <c r="I354" s="115"/>
      <c r="J354" s="116"/>
      <c r="K354" s="117"/>
      <c r="L354" s="116"/>
      <c r="M354" s="118"/>
      <c r="N354" s="96"/>
      <c r="O354" s="96"/>
      <c r="P354" s="97"/>
      <c r="Q354" s="97"/>
      <c r="R354" s="12"/>
      <c r="S354" s="12"/>
      <c r="T354" s="13"/>
      <c r="V354" s="26"/>
    </row>
    <row r="355" spans="2:22" s="7" customFormat="1" ht="49.5" hidden="1" customHeight="1">
      <c r="B355" s="139" t="s">
        <v>140</v>
      </c>
      <c r="C355" s="85">
        <f t="shared" si="21"/>
        <v>10</v>
      </c>
      <c r="D355" s="91" t="s">
        <v>76</v>
      </c>
      <c r="E355" s="80"/>
      <c r="F355" s="80"/>
      <c r="G355" s="80"/>
      <c r="H355" s="134">
        <f t="shared" si="20"/>
        <v>0</v>
      </c>
      <c r="I355" s="115"/>
      <c r="J355" s="116"/>
      <c r="K355" s="117"/>
      <c r="L355" s="116"/>
      <c r="M355" s="118"/>
      <c r="N355" s="96"/>
      <c r="O355" s="96"/>
      <c r="P355" s="97"/>
      <c r="Q355" s="97"/>
      <c r="R355" s="12"/>
      <c r="S355" s="12"/>
      <c r="T355" s="13"/>
      <c r="V355" s="26"/>
    </row>
    <row r="356" spans="2:22" s="7" customFormat="1" ht="49.5" hidden="1" customHeight="1">
      <c r="B356" s="139" t="s">
        <v>140</v>
      </c>
      <c r="C356" s="85">
        <f t="shared" si="21"/>
        <v>11</v>
      </c>
      <c r="D356" s="91" t="s">
        <v>76</v>
      </c>
      <c r="E356" s="80"/>
      <c r="F356" s="80"/>
      <c r="G356" s="80"/>
      <c r="H356" s="134">
        <f t="shared" si="20"/>
        <v>0</v>
      </c>
      <c r="I356" s="115"/>
      <c r="J356" s="116"/>
      <c r="K356" s="117"/>
      <c r="L356" s="116"/>
      <c r="M356" s="118"/>
      <c r="N356" s="96"/>
      <c r="O356" s="96"/>
      <c r="P356" s="97"/>
      <c r="Q356" s="97"/>
      <c r="R356" s="12"/>
      <c r="S356" s="12"/>
      <c r="T356" s="13"/>
      <c r="V356" s="26"/>
    </row>
    <row r="357" spans="2:22" s="7" customFormat="1" ht="49.5" hidden="1" customHeight="1">
      <c r="B357" s="139" t="s">
        <v>140</v>
      </c>
      <c r="C357" s="85">
        <f t="shared" si="21"/>
        <v>12</v>
      </c>
      <c r="D357" s="91" t="s">
        <v>76</v>
      </c>
      <c r="E357" s="80"/>
      <c r="F357" s="80"/>
      <c r="G357" s="80"/>
      <c r="H357" s="134">
        <f t="shared" si="20"/>
        <v>0</v>
      </c>
      <c r="I357" s="115"/>
      <c r="J357" s="116"/>
      <c r="K357" s="117"/>
      <c r="L357" s="116"/>
      <c r="M357" s="118"/>
      <c r="N357" s="96"/>
      <c r="O357" s="96"/>
      <c r="P357" s="97"/>
      <c r="Q357" s="97"/>
      <c r="R357" s="10"/>
      <c r="S357" s="10"/>
      <c r="T357" s="11"/>
      <c r="V357" s="26"/>
    </row>
    <row r="358" spans="2:22" s="7" customFormat="1" ht="49.5" hidden="1" customHeight="1">
      <c r="B358" s="139" t="s">
        <v>140</v>
      </c>
      <c r="C358" s="85">
        <f t="shared" si="21"/>
        <v>13</v>
      </c>
      <c r="D358" s="91" t="s">
        <v>76</v>
      </c>
      <c r="E358" s="80"/>
      <c r="F358" s="80"/>
      <c r="G358" s="80"/>
      <c r="H358" s="134">
        <f t="shared" si="20"/>
        <v>0</v>
      </c>
      <c r="I358" s="115"/>
      <c r="J358" s="116"/>
      <c r="K358" s="117"/>
      <c r="L358" s="116"/>
      <c r="M358" s="118"/>
      <c r="N358" s="96"/>
      <c r="O358" s="96"/>
      <c r="P358" s="97"/>
      <c r="Q358" s="97"/>
      <c r="R358" s="12"/>
      <c r="S358" s="12"/>
      <c r="T358" s="13"/>
      <c r="V358" s="26"/>
    </row>
    <row r="359" spans="2:22" s="7" customFormat="1" ht="49.5" hidden="1" customHeight="1">
      <c r="B359" s="139" t="s">
        <v>140</v>
      </c>
      <c r="C359" s="85">
        <f t="shared" si="21"/>
        <v>14</v>
      </c>
      <c r="D359" s="91" t="s">
        <v>76</v>
      </c>
      <c r="E359" s="80"/>
      <c r="F359" s="80"/>
      <c r="G359" s="80"/>
      <c r="H359" s="134">
        <f t="shared" si="20"/>
        <v>0</v>
      </c>
      <c r="I359" s="115"/>
      <c r="J359" s="116"/>
      <c r="K359" s="117"/>
      <c r="L359" s="116"/>
      <c r="M359" s="118"/>
      <c r="N359" s="96"/>
      <c r="O359" s="96"/>
      <c r="P359" s="97"/>
      <c r="Q359" s="97"/>
      <c r="R359" s="12"/>
      <c r="S359" s="12"/>
      <c r="T359" s="13"/>
      <c r="V359" s="26"/>
    </row>
    <row r="360" spans="2:22" s="7" customFormat="1" ht="49.5" hidden="1" customHeight="1">
      <c r="B360" s="139" t="s">
        <v>140</v>
      </c>
      <c r="C360" s="85">
        <f t="shared" si="21"/>
        <v>15</v>
      </c>
      <c r="D360" s="91" t="s">
        <v>76</v>
      </c>
      <c r="E360" s="80"/>
      <c r="F360" s="80"/>
      <c r="G360" s="80"/>
      <c r="H360" s="134">
        <f t="shared" si="20"/>
        <v>0</v>
      </c>
      <c r="I360" s="115"/>
      <c r="J360" s="116"/>
      <c r="K360" s="117"/>
      <c r="L360" s="116"/>
      <c r="M360" s="118"/>
      <c r="N360" s="96"/>
      <c r="O360" s="96"/>
      <c r="P360" s="97"/>
      <c r="Q360" s="97"/>
      <c r="R360" s="12"/>
      <c r="S360" s="12"/>
      <c r="T360" s="13"/>
      <c r="V360" s="26"/>
    </row>
    <row r="361" spans="2:22" s="7" customFormat="1" ht="49.5" hidden="1" customHeight="1">
      <c r="B361" s="139" t="s">
        <v>140</v>
      </c>
      <c r="C361" s="85">
        <f t="shared" si="21"/>
        <v>16</v>
      </c>
      <c r="D361" s="91" t="s">
        <v>76</v>
      </c>
      <c r="E361" s="80"/>
      <c r="F361" s="80"/>
      <c r="G361" s="80"/>
      <c r="H361" s="134">
        <f t="shared" si="20"/>
        <v>0</v>
      </c>
      <c r="I361" s="115"/>
      <c r="J361" s="116"/>
      <c r="K361" s="117"/>
      <c r="L361" s="116"/>
      <c r="M361" s="118"/>
      <c r="N361" s="96"/>
      <c r="O361" s="96"/>
      <c r="P361" s="97"/>
      <c r="Q361" s="97"/>
      <c r="R361" s="12"/>
      <c r="S361" s="12"/>
      <c r="T361" s="13"/>
      <c r="V361" s="26"/>
    </row>
    <row r="362" spans="2:22" s="7" customFormat="1" ht="49.5" hidden="1" customHeight="1">
      <c r="B362" s="139" t="s">
        <v>140</v>
      </c>
      <c r="C362" s="85">
        <f t="shared" si="21"/>
        <v>17</v>
      </c>
      <c r="D362" s="91" t="s">
        <v>76</v>
      </c>
      <c r="E362" s="80"/>
      <c r="F362" s="80"/>
      <c r="G362" s="80"/>
      <c r="H362" s="134">
        <f t="shared" si="20"/>
        <v>0</v>
      </c>
      <c r="I362" s="115"/>
      <c r="J362" s="116"/>
      <c r="K362" s="117"/>
      <c r="L362" s="116"/>
      <c r="M362" s="118"/>
      <c r="N362" s="96"/>
      <c r="O362" s="96"/>
      <c r="P362" s="97"/>
      <c r="Q362" s="97"/>
      <c r="R362" s="10"/>
      <c r="S362" s="10"/>
      <c r="T362" s="11"/>
      <c r="V362" s="26"/>
    </row>
    <row r="363" spans="2:22" s="7" customFormat="1" ht="49.5" hidden="1" customHeight="1">
      <c r="B363" s="139" t="s">
        <v>140</v>
      </c>
      <c r="C363" s="85">
        <f t="shared" si="21"/>
        <v>18</v>
      </c>
      <c r="D363" s="91" t="s">
        <v>76</v>
      </c>
      <c r="E363" s="80"/>
      <c r="F363" s="80"/>
      <c r="G363" s="80"/>
      <c r="H363" s="134">
        <f t="shared" si="20"/>
        <v>0</v>
      </c>
      <c r="I363" s="115"/>
      <c r="J363" s="116"/>
      <c r="K363" s="117"/>
      <c r="L363" s="116"/>
      <c r="M363" s="118"/>
      <c r="N363" s="96"/>
      <c r="O363" s="96"/>
      <c r="P363" s="97"/>
      <c r="Q363" s="97"/>
      <c r="R363" s="12"/>
      <c r="S363" s="12"/>
      <c r="T363" s="13"/>
      <c r="V363" s="26"/>
    </row>
    <row r="364" spans="2:22" s="7" customFormat="1" ht="49.5" hidden="1" customHeight="1">
      <c r="B364" s="139" t="s">
        <v>140</v>
      </c>
      <c r="C364" s="85">
        <f t="shared" si="21"/>
        <v>19</v>
      </c>
      <c r="D364" s="91" t="s">
        <v>76</v>
      </c>
      <c r="E364" s="80"/>
      <c r="F364" s="80"/>
      <c r="G364" s="80"/>
      <c r="H364" s="134">
        <f t="shared" si="20"/>
        <v>0</v>
      </c>
      <c r="I364" s="115"/>
      <c r="J364" s="116"/>
      <c r="K364" s="117"/>
      <c r="L364" s="116"/>
      <c r="M364" s="118"/>
      <c r="N364" s="96"/>
      <c r="O364" s="96"/>
      <c r="P364" s="97"/>
      <c r="Q364" s="97"/>
      <c r="R364" s="12"/>
      <c r="S364" s="12"/>
      <c r="T364" s="13"/>
      <c r="V364" s="26"/>
    </row>
    <row r="365" spans="2:22" s="7" customFormat="1" ht="49.5" hidden="1" customHeight="1">
      <c r="B365" s="139" t="s">
        <v>140</v>
      </c>
      <c r="C365" s="85">
        <f t="shared" si="21"/>
        <v>20</v>
      </c>
      <c r="D365" s="91" t="s">
        <v>76</v>
      </c>
      <c r="E365" s="80"/>
      <c r="F365" s="80"/>
      <c r="G365" s="80"/>
      <c r="H365" s="134">
        <f t="shared" si="20"/>
        <v>0</v>
      </c>
      <c r="I365" s="115"/>
      <c r="J365" s="116"/>
      <c r="K365" s="117"/>
      <c r="L365" s="116"/>
      <c r="M365" s="118"/>
      <c r="N365" s="96"/>
      <c r="O365" s="96"/>
      <c r="P365" s="97"/>
      <c r="Q365" s="97"/>
      <c r="R365" s="12"/>
      <c r="S365" s="12"/>
      <c r="T365" s="13"/>
      <c r="V365" s="26"/>
    </row>
    <row r="366" spans="2:22" s="7" customFormat="1" ht="49.5" hidden="1" customHeight="1">
      <c r="B366" s="139" t="s">
        <v>140</v>
      </c>
      <c r="C366" s="85">
        <f t="shared" si="21"/>
        <v>21</v>
      </c>
      <c r="D366" s="91" t="s">
        <v>76</v>
      </c>
      <c r="E366" s="80"/>
      <c r="F366" s="80"/>
      <c r="G366" s="80"/>
      <c r="H366" s="134">
        <f t="shared" si="20"/>
        <v>0</v>
      </c>
      <c r="I366" s="115"/>
      <c r="J366" s="116"/>
      <c r="K366" s="117"/>
      <c r="L366" s="116"/>
      <c r="M366" s="118"/>
      <c r="N366" s="96"/>
      <c r="O366" s="96"/>
      <c r="P366" s="97"/>
      <c r="Q366" s="97"/>
      <c r="R366" s="12"/>
      <c r="S366" s="12"/>
      <c r="T366" s="13"/>
      <c r="U366" s="88"/>
      <c r="V366" s="26"/>
    </row>
    <row r="367" spans="2:22" s="7" customFormat="1" ht="49.5" hidden="1" customHeight="1">
      <c r="B367" s="139" t="s">
        <v>140</v>
      </c>
      <c r="C367" s="85">
        <f t="shared" si="21"/>
        <v>22</v>
      </c>
      <c r="D367" s="91" t="s">
        <v>76</v>
      </c>
      <c r="E367" s="80"/>
      <c r="F367" s="80"/>
      <c r="G367" s="80"/>
      <c r="H367" s="134">
        <f t="shared" si="20"/>
        <v>0</v>
      </c>
      <c r="I367" s="115"/>
      <c r="J367" s="116"/>
      <c r="K367" s="117"/>
      <c r="L367" s="116"/>
      <c r="M367" s="118"/>
      <c r="N367" s="96"/>
      <c r="O367" s="96"/>
      <c r="P367" s="97"/>
      <c r="Q367" s="97"/>
      <c r="R367" s="12"/>
      <c r="S367" s="12"/>
      <c r="T367" s="13"/>
      <c r="U367" s="88"/>
      <c r="V367" s="26"/>
    </row>
    <row r="368" spans="2:22" s="7" customFormat="1" ht="49.5" hidden="1" customHeight="1">
      <c r="B368" s="139" t="s">
        <v>140</v>
      </c>
      <c r="C368" s="85">
        <f t="shared" si="21"/>
        <v>23</v>
      </c>
      <c r="D368" s="91" t="s">
        <v>76</v>
      </c>
      <c r="E368" s="80"/>
      <c r="F368" s="80"/>
      <c r="G368" s="80"/>
      <c r="H368" s="134">
        <f t="shared" si="20"/>
        <v>0</v>
      </c>
      <c r="I368" s="115"/>
      <c r="J368" s="116"/>
      <c r="K368" s="117"/>
      <c r="L368" s="116"/>
      <c r="M368" s="118"/>
      <c r="N368" s="96"/>
      <c r="O368" s="96"/>
      <c r="P368" s="97"/>
      <c r="Q368" s="97"/>
      <c r="R368" s="12"/>
      <c r="S368" s="12"/>
      <c r="T368" s="13"/>
      <c r="U368" s="88"/>
      <c r="V368" s="26"/>
    </row>
    <row r="369" spans="2:22" s="7" customFormat="1" ht="49.5" hidden="1" customHeight="1">
      <c r="B369" s="139" t="s">
        <v>140</v>
      </c>
      <c r="C369" s="85">
        <f t="shared" si="21"/>
        <v>24</v>
      </c>
      <c r="D369" s="91" t="s">
        <v>76</v>
      </c>
      <c r="E369" s="80"/>
      <c r="F369" s="80"/>
      <c r="G369" s="80"/>
      <c r="H369" s="134">
        <f t="shared" si="20"/>
        <v>0</v>
      </c>
      <c r="I369" s="115"/>
      <c r="J369" s="116"/>
      <c r="K369" s="117"/>
      <c r="L369" s="116"/>
      <c r="M369" s="118"/>
      <c r="N369" s="96"/>
      <c r="O369" s="96"/>
      <c r="P369" s="97"/>
      <c r="Q369" s="97"/>
      <c r="R369" s="12"/>
      <c r="S369" s="12"/>
      <c r="T369" s="13"/>
      <c r="U369" s="88"/>
      <c r="V369" s="26"/>
    </row>
    <row r="370" spans="2:22" s="7" customFormat="1" ht="49.5" hidden="1" customHeight="1">
      <c r="B370" s="139" t="s">
        <v>140</v>
      </c>
      <c r="C370" s="85">
        <f t="shared" si="21"/>
        <v>25</v>
      </c>
      <c r="D370" s="91" t="s">
        <v>76</v>
      </c>
      <c r="E370" s="80"/>
      <c r="F370" s="80"/>
      <c r="G370" s="80"/>
      <c r="H370" s="134">
        <f t="shared" si="20"/>
        <v>0</v>
      </c>
      <c r="I370" s="115"/>
      <c r="J370" s="116"/>
      <c r="K370" s="117"/>
      <c r="L370" s="116"/>
      <c r="M370" s="118"/>
      <c r="N370" s="96"/>
      <c r="O370" s="96"/>
      <c r="P370" s="97"/>
      <c r="Q370" s="97"/>
      <c r="R370" s="12"/>
      <c r="S370" s="12"/>
      <c r="T370" s="13"/>
      <c r="U370" s="88"/>
      <c r="V370" s="26"/>
    </row>
    <row r="371" spans="2:22" s="7" customFormat="1" ht="49.5" hidden="1" customHeight="1">
      <c r="B371" s="139" t="s">
        <v>140</v>
      </c>
      <c r="C371" s="85">
        <f t="shared" si="21"/>
        <v>26</v>
      </c>
      <c r="D371" s="91" t="s">
        <v>76</v>
      </c>
      <c r="E371" s="80"/>
      <c r="F371" s="80"/>
      <c r="G371" s="80"/>
      <c r="H371" s="134">
        <f t="shared" si="20"/>
        <v>0</v>
      </c>
      <c r="I371" s="115"/>
      <c r="J371" s="116"/>
      <c r="K371" s="117"/>
      <c r="L371" s="116"/>
      <c r="M371" s="118"/>
      <c r="N371" s="96"/>
      <c r="O371" s="96"/>
      <c r="P371" s="97"/>
      <c r="Q371" s="97"/>
      <c r="R371" s="12"/>
      <c r="S371" s="12"/>
      <c r="T371" s="13"/>
      <c r="U371" s="88"/>
      <c r="V371" s="26"/>
    </row>
    <row r="372" spans="2:22" s="7" customFormat="1" ht="49.5" hidden="1" customHeight="1">
      <c r="B372" s="139" t="s">
        <v>140</v>
      </c>
      <c r="C372" s="85">
        <f t="shared" si="21"/>
        <v>27</v>
      </c>
      <c r="D372" s="91" t="s">
        <v>76</v>
      </c>
      <c r="E372" s="80"/>
      <c r="F372" s="80"/>
      <c r="G372" s="80"/>
      <c r="H372" s="134">
        <f t="shared" si="20"/>
        <v>0</v>
      </c>
      <c r="I372" s="115"/>
      <c r="J372" s="116"/>
      <c r="K372" s="117"/>
      <c r="L372" s="116"/>
      <c r="M372" s="118"/>
      <c r="N372" s="96"/>
      <c r="O372" s="96"/>
      <c r="P372" s="97"/>
      <c r="Q372" s="97"/>
      <c r="R372" s="12"/>
      <c r="S372" s="12"/>
      <c r="T372" s="13"/>
      <c r="U372" s="88"/>
      <c r="V372" s="26"/>
    </row>
    <row r="373" spans="2:22" s="7" customFormat="1" ht="49.5" hidden="1" customHeight="1">
      <c r="B373" s="139" t="s">
        <v>140</v>
      </c>
      <c r="C373" s="85">
        <f t="shared" si="21"/>
        <v>28</v>
      </c>
      <c r="D373" s="91" t="s">
        <v>76</v>
      </c>
      <c r="E373" s="80"/>
      <c r="F373" s="80"/>
      <c r="G373" s="80"/>
      <c r="H373" s="134">
        <f t="shared" si="20"/>
        <v>0</v>
      </c>
      <c r="I373" s="115"/>
      <c r="J373" s="116"/>
      <c r="K373" s="117"/>
      <c r="L373" s="116"/>
      <c r="M373" s="118"/>
      <c r="N373" s="96"/>
      <c r="O373" s="96"/>
      <c r="P373" s="97"/>
      <c r="Q373" s="97"/>
      <c r="R373" s="12"/>
      <c r="S373" s="12"/>
      <c r="T373" s="13"/>
      <c r="U373" s="88"/>
      <c r="V373" s="26"/>
    </row>
    <row r="374" spans="2:22" s="7" customFormat="1" ht="49.5" hidden="1" customHeight="1">
      <c r="B374" s="139" t="s">
        <v>140</v>
      </c>
      <c r="C374" s="85">
        <f t="shared" si="21"/>
        <v>29</v>
      </c>
      <c r="D374" s="91" t="s">
        <v>76</v>
      </c>
      <c r="E374" s="80"/>
      <c r="F374" s="80"/>
      <c r="G374" s="80"/>
      <c r="H374" s="134">
        <f t="shared" si="20"/>
        <v>0</v>
      </c>
      <c r="I374" s="115"/>
      <c r="J374" s="116"/>
      <c r="K374" s="117"/>
      <c r="L374" s="116"/>
      <c r="M374" s="118"/>
      <c r="N374" s="96"/>
      <c r="O374" s="96"/>
      <c r="P374" s="97"/>
      <c r="Q374" s="97"/>
      <c r="R374" s="12"/>
      <c r="S374" s="12"/>
      <c r="T374" s="13"/>
      <c r="U374" s="88"/>
      <c r="V374" s="26"/>
    </row>
    <row r="375" spans="2:22" s="7" customFormat="1" ht="49.5" hidden="1" customHeight="1">
      <c r="B375" s="139" t="s">
        <v>140</v>
      </c>
      <c r="C375" s="85">
        <f t="shared" si="21"/>
        <v>30</v>
      </c>
      <c r="D375" s="91" t="s">
        <v>76</v>
      </c>
      <c r="E375" s="80"/>
      <c r="F375" s="80"/>
      <c r="G375" s="80"/>
      <c r="H375" s="134">
        <f t="shared" si="20"/>
        <v>0</v>
      </c>
      <c r="I375" s="115"/>
      <c r="J375" s="116"/>
      <c r="K375" s="117"/>
      <c r="L375" s="116"/>
      <c r="M375" s="118"/>
      <c r="N375" s="96"/>
      <c r="O375" s="96"/>
      <c r="P375" s="97"/>
      <c r="Q375" s="97"/>
      <c r="R375" s="12"/>
      <c r="S375" s="12"/>
      <c r="T375" s="13"/>
      <c r="U375" s="88" t="s">
        <v>102</v>
      </c>
      <c r="V375" s="26"/>
    </row>
    <row r="376" spans="2:22" s="7" customFormat="1" ht="49.5" hidden="1" customHeight="1">
      <c r="B376" s="139" t="s">
        <v>140</v>
      </c>
      <c r="C376" s="85">
        <f t="shared" si="21"/>
        <v>31</v>
      </c>
      <c r="D376" s="91" t="s">
        <v>76</v>
      </c>
      <c r="E376" s="80"/>
      <c r="F376" s="80"/>
      <c r="G376" s="80"/>
      <c r="H376" s="134">
        <f t="shared" si="20"/>
        <v>0</v>
      </c>
      <c r="I376" s="115"/>
      <c r="J376" s="116"/>
      <c r="K376" s="117"/>
      <c r="L376" s="116"/>
      <c r="M376" s="118"/>
      <c r="N376" s="96"/>
      <c r="O376" s="96"/>
      <c r="P376" s="97"/>
      <c r="Q376" s="97"/>
      <c r="R376" s="12"/>
      <c r="S376" s="12"/>
      <c r="T376" s="13"/>
      <c r="U376" s="88"/>
      <c r="V376" s="26"/>
    </row>
    <row r="377" spans="2:22" s="7" customFormat="1" ht="49.5" hidden="1" customHeight="1">
      <c r="B377" s="139" t="s">
        <v>140</v>
      </c>
      <c r="C377" s="85">
        <f t="shared" si="21"/>
        <v>32</v>
      </c>
      <c r="D377" s="91" t="s">
        <v>76</v>
      </c>
      <c r="E377" s="80"/>
      <c r="F377" s="80"/>
      <c r="G377" s="80"/>
      <c r="H377" s="134">
        <f t="shared" si="20"/>
        <v>0</v>
      </c>
      <c r="I377" s="115"/>
      <c r="J377" s="116"/>
      <c r="K377" s="117"/>
      <c r="L377" s="116"/>
      <c r="M377" s="118"/>
      <c r="N377" s="96"/>
      <c r="O377" s="96"/>
      <c r="P377" s="97"/>
      <c r="Q377" s="97"/>
      <c r="R377" s="12"/>
      <c r="S377" s="12"/>
      <c r="T377" s="13"/>
      <c r="U377" s="88"/>
      <c r="V377" s="26"/>
    </row>
    <row r="378" spans="2:22" s="7" customFormat="1" ht="49.5" hidden="1" customHeight="1">
      <c r="B378" s="139" t="s">
        <v>140</v>
      </c>
      <c r="C378" s="85">
        <f t="shared" si="21"/>
        <v>33</v>
      </c>
      <c r="D378" s="91" t="s">
        <v>76</v>
      </c>
      <c r="E378" s="80"/>
      <c r="F378" s="80"/>
      <c r="G378" s="80"/>
      <c r="H378" s="134">
        <f t="shared" si="20"/>
        <v>0</v>
      </c>
      <c r="I378" s="115"/>
      <c r="J378" s="116"/>
      <c r="K378" s="117"/>
      <c r="L378" s="116"/>
      <c r="M378" s="118"/>
      <c r="N378" s="96"/>
      <c r="O378" s="96"/>
      <c r="P378" s="97"/>
      <c r="Q378" s="97"/>
      <c r="R378" s="12"/>
      <c r="S378" s="12"/>
      <c r="T378" s="13"/>
      <c r="U378" s="88"/>
      <c r="V378" s="26"/>
    </row>
    <row r="379" spans="2:22" s="7" customFormat="1" ht="49.5" hidden="1" customHeight="1">
      <c r="B379" s="139" t="s">
        <v>140</v>
      </c>
      <c r="C379" s="85">
        <f t="shared" si="21"/>
        <v>34</v>
      </c>
      <c r="D379" s="91" t="s">
        <v>76</v>
      </c>
      <c r="E379" s="80"/>
      <c r="F379" s="80"/>
      <c r="G379" s="80"/>
      <c r="H379" s="134">
        <f t="shared" si="20"/>
        <v>0</v>
      </c>
      <c r="I379" s="115"/>
      <c r="J379" s="116"/>
      <c r="K379" s="117"/>
      <c r="L379" s="116"/>
      <c r="M379" s="118"/>
      <c r="N379" s="96"/>
      <c r="O379" s="96"/>
      <c r="P379" s="97"/>
      <c r="Q379" s="97"/>
      <c r="R379" s="12"/>
      <c r="S379" s="12"/>
      <c r="T379" s="13"/>
      <c r="U379" s="88"/>
      <c r="V379" s="26"/>
    </row>
    <row r="380" spans="2:22" s="7" customFormat="1" ht="49.5" hidden="1" customHeight="1">
      <c r="B380" s="139" t="s">
        <v>140</v>
      </c>
      <c r="C380" s="85">
        <f t="shared" si="21"/>
        <v>35</v>
      </c>
      <c r="D380" s="91" t="s">
        <v>76</v>
      </c>
      <c r="E380" s="80"/>
      <c r="F380" s="80"/>
      <c r="G380" s="80"/>
      <c r="H380" s="134">
        <f t="shared" si="20"/>
        <v>0</v>
      </c>
      <c r="I380" s="115"/>
      <c r="J380" s="116"/>
      <c r="K380" s="117"/>
      <c r="L380" s="116"/>
      <c r="M380" s="118"/>
      <c r="N380" s="96"/>
      <c r="O380" s="96"/>
      <c r="P380" s="97"/>
      <c r="Q380" s="97"/>
      <c r="R380" s="12"/>
      <c r="S380" s="12"/>
      <c r="T380" s="13"/>
      <c r="U380" s="88"/>
      <c r="V380" s="26"/>
    </row>
    <row r="381" spans="2:22" s="7" customFormat="1" ht="49.5" hidden="1" customHeight="1">
      <c r="B381" s="139" t="s">
        <v>140</v>
      </c>
      <c r="C381" s="85">
        <f t="shared" si="21"/>
        <v>36</v>
      </c>
      <c r="D381" s="91" t="s">
        <v>76</v>
      </c>
      <c r="E381" s="80"/>
      <c r="F381" s="80"/>
      <c r="G381" s="80"/>
      <c r="H381" s="134">
        <f t="shared" si="20"/>
        <v>0</v>
      </c>
      <c r="I381" s="115"/>
      <c r="J381" s="116"/>
      <c r="K381" s="117"/>
      <c r="L381" s="116"/>
      <c r="M381" s="118"/>
      <c r="N381" s="96"/>
      <c r="O381" s="96"/>
      <c r="P381" s="97"/>
      <c r="Q381" s="97"/>
      <c r="R381" s="12"/>
      <c r="S381" s="12"/>
      <c r="T381" s="13"/>
      <c r="U381" s="88"/>
      <c r="V381" s="26"/>
    </row>
    <row r="382" spans="2:22" s="7" customFormat="1" ht="49.5" hidden="1" customHeight="1">
      <c r="B382" s="139" t="s">
        <v>140</v>
      </c>
      <c r="C382" s="85">
        <f t="shared" si="21"/>
        <v>37</v>
      </c>
      <c r="D382" s="91" t="s">
        <v>76</v>
      </c>
      <c r="E382" s="80"/>
      <c r="F382" s="80"/>
      <c r="G382" s="80"/>
      <c r="H382" s="134">
        <f t="shared" si="20"/>
        <v>0</v>
      </c>
      <c r="I382" s="115"/>
      <c r="J382" s="116"/>
      <c r="K382" s="117"/>
      <c r="L382" s="116"/>
      <c r="M382" s="118"/>
      <c r="N382" s="96"/>
      <c r="O382" s="96"/>
      <c r="P382" s="97"/>
      <c r="Q382" s="97"/>
      <c r="R382" s="12"/>
      <c r="S382" s="12"/>
      <c r="T382" s="13"/>
      <c r="U382" s="88"/>
      <c r="V382" s="26"/>
    </row>
    <row r="383" spans="2:22" s="7" customFormat="1" ht="49.5" hidden="1" customHeight="1">
      <c r="B383" s="139" t="s">
        <v>140</v>
      </c>
      <c r="C383" s="85">
        <f t="shared" si="21"/>
        <v>38</v>
      </c>
      <c r="D383" s="91" t="s">
        <v>76</v>
      </c>
      <c r="E383" s="80"/>
      <c r="F383" s="80"/>
      <c r="G383" s="80"/>
      <c r="H383" s="134">
        <f t="shared" si="20"/>
        <v>0</v>
      </c>
      <c r="I383" s="115"/>
      <c r="J383" s="116"/>
      <c r="K383" s="117"/>
      <c r="L383" s="116"/>
      <c r="M383" s="118"/>
      <c r="N383" s="96"/>
      <c r="O383" s="96"/>
      <c r="P383" s="97"/>
      <c r="Q383" s="97"/>
      <c r="R383" s="12"/>
      <c r="S383" s="12"/>
      <c r="T383" s="13"/>
      <c r="U383" s="88"/>
      <c r="V383" s="26"/>
    </row>
    <row r="384" spans="2:22" s="7" customFormat="1" ht="49.5" hidden="1" customHeight="1">
      <c r="B384" s="139" t="s">
        <v>140</v>
      </c>
      <c r="C384" s="85">
        <f t="shared" si="21"/>
        <v>39</v>
      </c>
      <c r="D384" s="91" t="s">
        <v>76</v>
      </c>
      <c r="E384" s="80"/>
      <c r="F384" s="80"/>
      <c r="G384" s="80"/>
      <c r="H384" s="134">
        <f t="shared" si="20"/>
        <v>0</v>
      </c>
      <c r="I384" s="115"/>
      <c r="J384" s="116"/>
      <c r="K384" s="117"/>
      <c r="L384" s="116"/>
      <c r="M384" s="118"/>
      <c r="N384" s="96"/>
      <c r="O384" s="96"/>
      <c r="P384" s="97"/>
      <c r="Q384" s="97"/>
      <c r="R384" s="12"/>
      <c r="S384" s="12"/>
      <c r="T384" s="13"/>
      <c r="U384" s="88"/>
      <c r="V384" s="26"/>
    </row>
    <row r="385" spans="2:22" s="7" customFormat="1" ht="49.5" hidden="1" customHeight="1">
      <c r="B385" s="139" t="s">
        <v>140</v>
      </c>
      <c r="C385" s="85">
        <f t="shared" si="21"/>
        <v>40</v>
      </c>
      <c r="D385" s="91" t="s">
        <v>76</v>
      </c>
      <c r="E385" s="80"/>
      <c r="F385" s="80"/>
      <c r="G385" s="80"/>
      <c r="H385" s="134">
        <f t="shared" si="20"/>
        <v>0</v>
      </c>
      <c r="I385" s="115"/>
      <c r="J385" s="116"/>
      <c r="K385" s="117"/>
      <c r="L385" s="116"/>
      <c r="M385" s="118"/>
      <c r="N385" s="96"/>
      <c r="O385" s="96"/>
      <c r="P385" s="97"/>
      <c r="Q385" s="97"/>
      <c r="R385" s="12"/>
      <c r="S385" s="12"/>
      <c r="T385" s="13"/>
      <c r="U385" s="88"/>
      <c r="V385" s="26"/>
    </row>
    <row r="386" spans="2:22" s="7" customFormat="1" ht="49.5" hidden="1" customHeight="1">
      <c r="B386" s="139" t="s">
        <v>140</v>
      </c>
      <c r="C386" s="85">
        <f t="shared" si="21"/>
        <v>41</v>
      </c>
      <c r="D386" s="91" t="s">
        <v>76</v>
      </c>
      <c r="E386" s="80"/>
      <c r="F386" s="80"/>
      <c r="G386" s="80"/>
      <c r="H386" s="134">
        <f t="shared" si="20"/>
        <v>0</v>
      </c>
      <c r="I386" s="115"/>
      <c r="J386" s="116"/>
      <c r="K386" s="117"/>
      <c r="L386" s="116"/>
      <c r="M386" s="118"/>
      <c r="N386" s="96"/>
      <c r="O386" s="96"/>
      <c r="P386" s="97"/>
      <c r="Q386" s="97"/>
      <c r="R386" s="12"/>
      <c r="S386" s="12"/>
      <c r="T386" s="13"/>
      <c r="U386" s="88"/>
      <c r="V386" s="26"/>
    </row>
    <row r="387" spans="2:22" s="7" customFormat="1" ht="49.5" hidden="1" customHeight="1">
      <c r="B387" s="139" t="s">
        <v>140</v>
      </c>
      <c r="C387" s="85">
        <f t="shared" si="21"/>
        <v>42</v>
      </c>
      <c r="D387" s="91" t="s">
        <v>76</v>
      </c>
      <c r="E387" s="80"/>
      <c r="F387" s="80"/>
      <c r="G387" s="80"/>
      <c r="H387" s="134">
        <f t="shared" si="20"/>
        <v>0</v>
      </c>
      <c r="I387" s="115"/>
      <c r="J387" s="116"/>
      <c r="K387" s="117"/>
      <c r="L387" s="116"/>
      <c r="M387" s="118"/>
      <c r="N387" s="96"/>
      <c r="O387" s="96"/>
      <c r="P387" s="97"/>
      <c r="Q387" s="97"/>
      <c r="R387" s="12"/>
      <c r="S387" s="12"/>
      <c r="T387" s="13"/>
      <c r="U387" s="88"/>
      <c r="V387" s="26"/>
    </row>
    <row r="388" spans="2:22" s="7" customFormat="1" ht="49.5" hidden="1" customHeight="1">
      <c r="B388" s="139" t="s">
        <v>140</v>
      </c>
      <c r="C388" s="85">
        <f t="shared" si="21"/>
        <v>43</v>
      </c>
      <c r="D388" s="91" t="s">
        <v>76</v>
      </c>
      <c r="E388" s="80"/>
      <c r="F388" s="80"/>
      <c r="G388" s="80"/>
      <c r="H388" s="134">
        <f t="shared" si="20"/>
        <v>0</v>
      </c>
      <c r="I388" s="115"/>
      <c r="J388" s="116"/>
      <c r="K388" s="117"/>
      <c r="L388" s="116"/>
      <c r="M388" s="118"/>
      <c r="N388" s="96"/>
      <c r="O388" s="96"/>
      <c r="P388" s="97"/>
      <c r="Q388" s="97"/>
      <c r="R388" s="12"/>
      <c r="S388" s="12"/>
      <c r="T388" s="13"/>
      <c r="U388" s="88"/>
      <c r="V388" s="26"/>
    </row>
    <row r="389" spans="2:22" s="7" customFormat="1" ht="49.5" hidden="1" customHeight="1">
      <c r="B389" s="139" t="s">
        <v>140</v>
      </c>
      <c r="C389" s="85">
        <f t="shared" si="21"/>
        <v>44</v>
      </c>
      <c r="D389" s="91" t="s">
        <v>76</v>
      </c>
      <c r="E389" s="80"/>
      <c r="F389" s="80"/>
      <c r="G389" s="80"/>
      <c r="H389" s="134">
        <f t="shared" si="20"/>
        <v>0</v>
      </c>
      <c r="I389" s="115"/>
      <c r="J389" s="116"/>
      <c r="K389" s="117"/>
      <c r="L389" s="116"/>
      <c r="M389" s="118"/>
      <c r="N389" s="96"/>
      <c r="O389" s="96"/>
      <c r="P389" s="97"/>
      <c r="Q389" s="97"/>
      <c r="R389" s="12"/>
      <c r="S389" s="12"/>
      <c r="T389" s="13"/>
      <c r="U389" s="88"/>
      <c r="V389" s="26"/>
    </row>
    <row r="390" spans="2:22" s="7" customFormat="1" ht="49.5" hidden="1" customHeight="1">
      <c r="B390" s="139" t="s">
        <v>140</v>
      </c>
      <c r="C390" s="85">
        <f t="shared" si="21"/>
        <v>45</v>
      </c>
      <c r="D390" s="91" t="s">
        <v>76</v>
      </c>
      <c r="E390" s="80"/>
      <c r="F390" s="80"/>
      <c r="G390" s="80"/>
      <c r="H390" s="134">
        <f t="shared" si="20"/>
        <v>0</v>
      </c>
      <c r="I390" s="115"/>
      <c r="J390" s="116"/>
      <c r="K390" s="117"/>
      <c r="L390" s="116"/>
      <c r="M390" s="118"/>
      <c r="N390" s="96"/>
      <c r="O390" s="96"/>
      <c r="P390" s="97"/>
      <c r="Q390" s="97"/>
      <c r="R390" s="12"/>
      <c r="S390" s="12"/>
      <c r="T390" s="13"/>
      <c r="U390" s="88"/>
      <c r="V390" s="26"/>
    </row>
    <row r="391" spans="2:22" s="7" customFormat="1" ht="49.5" hidden="1" customHeight="1">
      <c r="B391" s="139" t="s">
        <v>140</v>
      </c>
      <c r="C391" s="85">
        <f t="shared" si="21"/>
        <v>46</v>
      </c>
      <c r="D391" s="91" t="s">
        <v>76</v>
      </c>
      <c r="E391" s="80"/>
      <c r="F391" s="80"/>
      <c r="G391" s="80"/>
      <c r="H391" s="134">
        <f t="shared" si="20"/>
        <v>0</v>
      </c>
      <c r="I391" s="115"/>
      <c r="J391" s="116"/>
      <c r="K391" s="117"/>
      <c r="L391" s="116"/>
      <c r="M391" s="118"/>
      <c r="N391" s="96"/>
      <c r="O391" s="96"/>
      <c r="P391" s="97"/>
      <c r="Q391" s="97"/>
      <c r="R391" s="12"/>
      <c r="S391" s="12"/>
      <c r="T391" s="13"/>
      <c r="U391" s="88"/>
      <c r="V391" s="26"/>
    </row>
    <row r="392" spans="2:22" s="7" customFormat="1" ht="49.5" hidden="1" customHeight="1">
      <c r="B392" s="139" t="s">
        <v>140</v>
      </c>
      <c r="C392" s="85">
        <f t="shared" si="21"/>
        <v>47</v>
      </c>
      <c r="D392" s="91" t="s">
        <v>76</v>
      </c>
      <c r="E392" s="80"/>
      <c r="F392" s="80"/>
      <c r="G392" s="80"/>
      <c r="H392" s="134">
        <f t="shared" si="20"/>
        <v>0</v>
      </c>
      <c r="I392" s="115"/>
      <c r="J392" s="116"/>
      <c r="K392" s="117"/>
      <c r="L392" s="116"/>
      <c r="M392" s="118"/>
      <c r="N392" s="96"/>
      <c r="O392" s="96"/>
      <c r="P392" s="97"/>
      <c r="Q392" s="97"/>
      <c r="R392" s="12"/>
      <c r="S392" s="12"/>
      <c r="T392" s="13"/>
      <c r="U392" s="88"/>
      <c r="V392" s="26"/>
    </row>
    <row r="393" spans="2:22" s="7" customFormat="1" ht="49.5" hidden="1" customHeight="1">
      <c r="B393" s="139" t="s">
        <v>140</v>
      </c>
      <c r="C393" s="85">
        <f t="shared" si="21"/>
        <v>48</v>
      </c>
      <c r="D393" s="91" t="s">
        <v>76</v>
      </c>
      <c r="E393" s="80"/>
      <c r="F393" s="80"/>
      <c r="G393" s="80"/>
      <c r="H393" s="134">
        <f t="shared" si="20"/>
        <v>0</v>
      </c>
      <c r="I393" s="115"/>
      <c r="J393" s="116"/>
      <c r="K393" s="117"/>
      <c r="L393" s="116"/>
      <c r="M393" s="118"/>
      <c r="N393" s="96"/>
      <c r="O393" s="96"/>
      <c r="P393" s="97"/>
      <c r="Q393" s="97"/>
      <c r="R393" s="12"/>
      <c r="S393" s="12"/>
      <c r="T393" s="13"/>
      <c r="U393" s="88"/>
      <c r="V393" s="26"/>
    </row>
    <row r="394" spans="2:22" s="7" customFormat="1" ht="49.5" hidden="1" customHeight="1">
      <c r="B394" s="139" t="s">
        <v>140</v>
      </c>
      <c r="C394" s="85">
        <f t="shared" si="21"/>
        <v>49</v>
      </c>
      <c r="D394" s="91" t="s">
        <v>76</v>
      </c>
      <c r="E394" s="80"/>
      <c r="F394" s="80"/>
      <c r="G394" s="80"/>
      <c r="H394" s="134">
        <f t="shared" si="20"/>
        <v>0</v>
      </c>
      <c r="I394" s="115"/>
      <c r="J394" s="116"/>
      <c r="K394" s="117"/>
      <c r="L394" s="116"/>
      <c r="M394" s="118"/>
      <c r="N394" s="96"/>
      <c r="O394" s="96"/>
      <c r="P394" s="97"/>
      <c r="Q394" s="97"/>
      <c r="R394" s="12"/>
      <c r="S394" s="12"/>
      <c r="T394" s="13"/>
      <c r="U394" s="88"/>
      <c r="V394" s="26"/>
    </row>
    <row r="395" spans="2:22" s="7" customFormat="1" ht="49.5" hidden="1" customHeight="1">
      <c r="B395" s="139" t="s">
        <v>140</v>
      </c>
      <c r="C395" s="85">
        <f t="shared" si="21"/>
        <v>50</v>
      </c>
      <c r="D395" s="91" t="s">
        <v>76</v>
      </c>
      <c r="E395" s="80"/>
      <c r="F395" s="80"/>
      <c r="G395" s="80"/>
      <c r="H395" s="134">
        <f t="shared" si="20"/>
        <v>0</v>
      </c>
      <c r="I395" s="115"/>
      <c r="J395" s="116"/>
      <c r="K395" s="117"/>
      <c r="L395" s="116"/>
      <c r="M395" s="118"/>
      <c r="N395" s="96"/>
      <c r="O395" s="96"/>
      <c r="P395" s="97"/>
      <c r="Q395" s="97"/>
      <c r="R395" s="12"/>
      <c r="S395" s="12"/>
      <c r="T395" s="13"/>
      <c r="U395" s="88"/>
      <c r="V395" s="26"/>
    </row>
    <row r="396" spans="2:22" s="7" customFormat="1" ht="49.5" hidden="1" customHeight="1">
      <c r="B396" s="139" t="s">
        <v>140</v>
      </c>
      <c r="C396" s="85">
        <f t="shared" si="21"/>
        <v>51</v>
      </c>
      <c r="D396" s="91" t="s">
        <v>76</v>
      </c>
      <c r="E396" s="80"/>
      <c r="F396" s="80"/>
      <c r="G396" s="80"/>
      <c r="H396" s="134">
        <f t="shared" si="20"/>
        <v>0</v>
      </c>
      <c r="I396" s="115"/>
      <c r="J396" s="116"/>
      <c r="K396" s="117"/>
      <c r="L396" s="116"/>
      <c r="M396" s="118"/>
      <c r="N396" s="96"/>
      <c r="O396" s="96"/>
      <c r="P396" s="97"/>
      <c r="Q396" s="97"/>
      <c r="R396" s="12"/>
      <c r="S396" s="12"/>
      <c r="T396" s="13"/>
      <c r="U396" s="88"/>
      <c r="V396" s="26"/>
    </row>
    <row r="397" spans="2:22" s="7" customFormat="1" ht="49.5" hidden="1" customHeight="1">
      <c r="B397" s="139" t="s">
        <v>140</v>
      </c>
      <c r="C397" s="85">
        <f t="shared" si="21"/>
        <v>52</v>
      </c>
      <c r="D397" s="91" t="s">
        <v>76</v>
      </c>
      <c r="E397" s="80"/>
      <c r="F397" s="80"/>
      <c r="G397" s="80"/>
      <c r="H397" s="134">
        <f t="shared" si="20"/>
        <v>0</v>
      </c>
      <c r="I397" s="115"/>
      <c r="J397" s="116"/>
      <c r="K397" s="117"/>
      <c r="L397" s="116"/>
      <c r="M397" s="118"/>
      <c r="N397" s="96"/>
      <c r="O397" s="96"/>
      <c r="P397" s="97"/>
      <c r="Q397" s="97"/>
      <c r="R397" s="12"/>
      <c r="S397" s="12"/>
      <c r="T397" s="13"/>
      <c r="U397" s="88"/>
      <c r="V397" s="26"/>
    </row>
    <row r="398" spans="2:22" s="7" customFormat="1" ht="49.5" hidden="1" customHeight="1">
      <c r="B398" s="139" t="s">
        <v>140</v>
      </c>
      <c r="C398" s="85">
        <f t="shared" si="21"/>
        <v>53</v>
      </c>
      <c r="D398" s="91" t="s">
        <v>76</v>
      </c>
      <c r="E398" s="80"/>
      <c r="F398" s="80"/>
      <c r="G398" s="80"/>
      <c r="H398" s="134">
        <f t="shared" si="20"/>
        <v>0</v>
      </c>
      <c r="I398" s="115"/>
      <c r="J398" s="116"/>
      <c r="K398" s="117"/>
      <c r="L398" s="116"/>
      <c r="M398" s="118"/>
      <c r="N398" s="96"/>
      <c r="O398" s="96"/>
      <c r="P398" s="97"/>
      <c r="Q398" s="97"/>
      <c r="R398" s="12"/>
      <c r="S398" s="12"/>
      <c r="T398" s="13"/>
      <c r="U398" s="88"/>
      <c r="V398" s="26"/>
    </row>
    <row r="399" spans="2:22" s="7" customFormat="1" ht="49.5" hidden="1" customHeight="1">
      <c r="B399" s="139" t="s">
        <v>140</v>
      </c>
      <c r="C399" s="85">
        <f t="shared" si="21"/>
        <v>54</v>
      </c>
      <c r="D399" s="91" t="s">
        <v>76</v>
      </c>
      <c r="E399" s="80"/>
      <c r="F399" s="80"/>
      <c r="G399" s="80"/>
      <c r="H399" s="134">
        <f t="shared" si="20"/>
        <v>0</v>
      </c>
      <c r="I399" s="115"/>
      <c r="J399" s="116"/>
      <c r="K399" s="117"/>
      <c r="L399" s="116"/>
      <c r="M399" s="118"/>
      <c r="N399" s="96"/>
      <c r="O399" s="96"/>
      <c r="P399" s="97"/>
      <c r="Q399" s="97"/>
      <c r="R399" s="12"/>
      <c r="S399" s="12"/>
      <c r="T399" s="13"/>
      <c r="U399" s="88"/>
      <c r="V399" s="26"/>
    </row>
    <row r="400" spans="2:22" s="7" customFormat="1" ht="49.5" hidden="1" customHeight="1">
      <c r="B400" s="139" t="s">
        <v>140</v>
      </c>
      <c r="C400" s="85">
        <f t="shared" si="21"/>
        <v>55</v>
      </c>
      <c r="D400" s="91" t="s">
        <v>76</v>
      </c>
      <c r="E400" s="80"/>
      <c r="F400" s="80"/>
      <c r="G400" s="80"/>
      <c r="H400" s="134">
        <f t="shared" si="20"/>
        <v>0</v>
      </c>
      <c r="I400" s="115"/>
      <c r="J400" s="116"/>
      <c r="K400" s="117"/>
      <c r="L400" s="116"/>
      <c r="M400" s="118"/>
      <c r="N400" s="96"/>
      <c r="O400" s="96"/>
      <c r="P400" s="97"/>
      <c r="Q400" s="97"/>
      <c r="R400" s="12"/>
      <c r="S400" s="12"/>
      <c r="T400" s="13"/>
      <c r="U400" s="88"/>
      <c r="V400" s="26"/>
    </row>
    <row r="401" spans="2:22" s="7" customFormat="1" ht="49.5" hidden="1" customHeight="1">
      <c r="B401" s="139" t="s">
        <v>140</v>
      </c>
      <c r="C401" s="85">
        <f t="shared" si="21"/>
        <v>56</v>
      </c>
      <c r="D401" s="91" t="s">
        <v>76</v>
      </c>
      <c r="E401" s="80"/>
      <c r="F401" s="80"/>
      <c r="G401" s="80"/>
      <c r="H401" s="134">
        <f t="shared" si="20"/>
        <v>0</v>
      </c>
      <c r="I401" s="115"/>
      <c r="J401" s="116"/>
      <c r="K401" s="117"/>
      <c r="L401" s="116"/>
      <c r="M401" s="118"/>
      <c r="N401" s="96"/>
      <c r="O401" s="96"/>
      <c r="P401" s="97"/>
      <c r="Q401" s="97"/>
      <c r="R401" s="12"/>
      <c r="S401" s="12"/>
      <c r="T401" s="13"/>
      <c r="U401" s="88"/>
      <c r="V401" s="26"/>
    </row>
    <row r="402" spans="2:22" s="7" customFormat="1" ht="49.5" hidden="1" customHeight="1">
      <c r="B402" s="139" t="s">
        <v>140</v>
      </c>
      <c r="C402" s="85">
        <f t="shared" si="21"/>
        <v>57</v>
      </c>
      <c r="D402" s="91" t="s">
        <v>76</v>
      </c>
      <c r="E402" s="80"/>
      <c r="F402" s="80"/>
      <c r="G402" s="80"/>
      <c r="H402" s="134">
        <f t="shared" si="20"/>
        <v>0</v>
      </c>
      <c r="I402" s="115"/>
      <c r="J402" s="116"/>
      <c r="K402" s="117"/>
      <c r="L402" s="116"/>
      <c r="M402" s="118"/>
      <c r="N402" s="96"/>
      <c r="O402" s="96"/>
      <c r="P402" s="97"/>
      <c r="Q402" s="97"/>
      <c r="R402" s="12"/>
      <c r="S402" s="12"/>
      <c r="T402" s="13"/>
      <c r="U402" s="88"/>
      <c r="V402" s="26"/>
    </row>
    <row r="403" spans="2:22" s="7" customFormat="1" ht="49.5" hidden="1" customHeight="1">
      <c r="B403" s="139" t="s">
        <v>140</v>
      </c>
      <c r="C403" s="85">
        <f t="shared" si="21"/>
        <v>58</v>
      </c>
      <c r="D403" s="91" t="s">
        <v>76</v>
      </c>
      <c r="E403" s="80"/>
      <c r="F403" s="80"/>
      <c r="G403" s="80"/>
      <c r="H403" s="134">
        <f t="shared" si="20"/>
        <v>0</v>
      </c>
      <c r="I403" s="115"/>
      <c r="J403" s="116"/>
      <c r="K403" s="117"/>
      <c r="L403" s="116"/>
      <c r="M403" s="118"/>
      <c r="N403" s="96"/>
      <c r="O403" s="96"/>
      <c r="P403" s="97"/>
      <c r="Q403" s="97"/>
      <c r="R403" s="12"/>
      <c r="S403" s="12"/>
      <c r="T403" s="13"/>
      <c r="U403" s="88"/>
      <c r="V403" s="26"/>
    </row>
    <row r="404" spans="2:22" s="7" customFormat="1" ht="49.5" hidden="1" customHeight="1">
      <c r="B404" s="139" t="s">
        <v>140</v>
      </c>
      <c r="C404" s="85">
        <f t="shared" si="21"/>
        <v>59</v>
      </c>
      <c r="D404" s="91" t="s">
        <v>76</v>
      </c>
      <c r="E404" s="80"/>
      <c r="F404" s="80"/>
      <c r="G404" s="80"/>
      <c r="H404" s="134">
        <f t="shared" si="20"/>
        <v>0</v>
      </c>
      <c r="I404" s="115"/>
      <c r="J404" s="116"/>
      <c r="K404" s="117"/>
      <c r="L404" s="116"/>
      <c r="M404" s="118"/>
      <c r="N404" s="96"/>
      <c r="O404" s="96"/>
      <c r="P404" s="97"/>
      <c r="Q404" s="97"/>
      <c r="R404" s="12"/>
      <c r="S404" s="12"/>
      <c r="T404" s="13"/>
      <c r="U404" s="88"/>
      <c r="V404" s="26"/>
    </row>
    <row r="405" spans="2:22" s="7" customFormat="1" ht="49.5" hidden="1" customHeight="1">
      <c r="B405" s="139" t="s">
        <v>140</v>
      </c>
      <c r="C405" s="85">
        <f t="shared" si="21"/>
        <v>60</v>
      </c>
      <c r="D405" s="91" t="s">
        <v>76</v>
      </c>
      <c r="E405" s="80"/>
      <c r="F405" s="80"/>
      <c r="G405" s="80"/>
      <c r="H405" s="134">
        <f t="shared" si="20"/>
        <v>0</v>
      </c>
      <c r="I405" s="115"/>
      <c r="J405" s="116"/>
      <c r="K405" s="117"/>
      <c r="L405" s="116"/>
      <c r="M405" s="118"/>
      <c r="N405" s="96"/>
      <c r="O405" s="96"/>
      <c r="P405" s="97"/>
      <c r="Q405" s="97"/>
      <c r="R405" s="12"/>
      <c r="S405" s="12"/>
      <c r="T405" s="13"/>
      <c r="U405" s="88"/>
      <c r="V405" s="26"/>
    </row>
    <row r="406" spans="2:22" s="7" customFormat="1" ht="49.5" hidden="1" customHeight="1">
      <c r="B406" s="139" t="s">
        <v>140</v>
      </c>
      <c r="C406" s="85">
        <f t="shared" si="21"/>
        <v>61</v>
      </c>
      <c r="D406" s="91" t="s">
        <v>76</v>
      </c>
      <c r="E406" s="80"/>
      <c r="F406" s="80"/>
      <c r="G406" s="80"/>
      <c r="H406" s="134">
        <f t="shared" si="20"/>
        <v>0</v>
      </c>
      <c r="I406" s="115"/>
      <c r="J406" s="116"/>
      <c r="K406" s="117"/>
      <c r="L406" s="116"/>
      <c r="M406" s="118"/>
      <c r="N406" s="96"/>
      <c r="O406" s="96"/>
      <c r="P406" s="97"/>
      <c r="Q406" s="97"/>
      <c r="R406" s="12"/>
      <c r="S406" s="12"/>
      <c r="T406" s="13"/>
      <c r="U406" s="88"/>
      <c r="V406" s="26"/>
    </row>
    <row r="407" spans="2:22" s="7" customFormat="1" ht="49.5" hidden="1" customHeight="1">
      <c r="B407" s="139" t="s">
        <v>140</v>
      </c>
      <c r="C407" s="85">
        <f t="shared" si="21"/>
        <v>62</v>
      </c>
      <c r="D407" s="91" t="s">
        <v>76</v>
      </c>
      <c r="E407" s="80"/>
      <c r="F407" s="80"/>
      <c r="G407" s="80"/>
      <c r="H407" s="134">
        <f t="shared" si="20"/>
        <v>0</v>
      </c>
      <c r="I407" s="115"/>
      <c r="J407" s="116"/>
      <c r="K407" s="117"/>
      <c r="L407" s="116"/>
      <c r="M407" s="118"/>
      <c r="N407" s="96"/>
      <c r="O407" s="96"/>
      <c r="P407" s="97"/>
      <c r="Q407" s="97"/>
      <c r="R407" s="12"/>
      <c r="S407" s="12"/>
      <c r="T407" s="13"/>
      <c r="U407" s="88"/>
      <c r="V407" s="26"/>
    </row>
    <row r="408" spans="2:22" s="7" customFormat="1" ht="49.5" hidden="1" customHeight="1">
      <c r="B408" s="139" t="s">
        <v>140</v>
      </c>
      <c r="C408" s="85">
        <f t="shared" si="21"/>
        <v>63</v>
      </c>
      <c r="D408" s="91" t="s">
        <v>76</v>
      </c>
      <c r="E408" s="80"/>
      <c r="F408" s="80"/>
      <c r="G408" s="80"/>
      <c r="H408" s="134">
        <f t="shared" si="20"/>
        <v>0</v>
      </c>
      <c r="I408" s="115"/>
      <c r="J408" s="116"/>
      <c r="K408" s="117"/>
      <c r="L408" s="116"/>
      <c r="M408" s="118"/>
      <c r="N408" s="96"/>
      <c r="O408" s="96"/>
      <c r="P408" s="97"/>
      <c r="Q408" s="97"/>
      <c r="R408" s="12"/>
      <c r="S408" s="12"/>
      <c r="T408" s="13"/>
      <c r="U408" s="88"/>
      <c r="V408" s="26"/>
    </row>
    <row r="409" spans="2:22" s="7" customFormat="1" ht="49.5" hidden="1" customHeight="1">
      <c r="B409" s="139" t="s">
        <v>140</v>
      </c>
      <c r="C409" s="85">
        <f t="shared" si="21"/>
        <v>64</v>
      </c>
      <c r="D409" s="91" t="s">
        <v>76</v>
      </c>
      <c r="E409" s="80"/>
      <c r="F409" s="80"/>
      <c r="G409" s="80"/>
      <c r="H409" s="134">
        <f t="shared" si="20"/>
        <v>0</v>
      </c>
      <c r="I409" s="115"/>
      <c r="J409" s="116"/>
      <c r="K409" s="117"/>
      <c r="L409" s="116"/>
      <c r="M409" s="118"/>
      <c r="N409" s="96"/>
      <c r="O409" s="96"/>
      <c r="P409" s="97"/>
      <c r="Q409" s="97"/>
      <c r="R409" s="12"/>
      <c r="S409" s="12"/>
      <c r="T409" s="13"/>
      <c r="U409" s="88"/>
      <c r="V409" s="26"/>
    </row>
    <row r="410" spans="2:22" s="7" customFormat="1" ht="49.5" hidden="1" customHeight="1">
      <c r="B410" s="139" t="s">
        <v>140</v>
      </c>
      <c r="C410" s="85">
        <f t="shared" si="21"/>
        <v>65</v>
      </c>
      <c r="D410" s="91" t="s">
        <v>76</v>
      </c>
      <c r="E410" s="80"/>
      <c r="F410" s="80"/>
      <c r="G410" s="80"/>
      <c r="H410" s="134">
        <f t="shared" si="20"/>
        <v>0</v>
      </c>
      <c r="I410" s="115"/>
      <c r="J410" s="116"/>
      <c r="K410" s="117"/>
      <c r="L410" s="116"/>
      <c r="M410" s="118"/>
      <c r="N410" s="96"/>
      <c r="O410" s="96"/>
      <c r="P410" s="97"/>
      <c r="Q410" s="97"/>
      <c r="R410" s="12"/>
      <c r="S410" s="12"/>
      <c r="T410" s="13"/>
      <c r="U410" s="88"/>
      <c r="V410" s="26"/>
    </row>
    <row r="411" spans="2:22" s="7" customFormat="1" ht="49.5" hidden="1" customHeight="1">
      <c r="B411" s="139" t="s">
        <v>140</v>
      </c>
      <c r="C411" s="85">
        <f t="shared" si="21"/>
        <v>66</v>
      </c>
      <c r="D411" s="91" t="s">
        <v>76</v>
      </c>
      <c r="E411" s="80"/>
      <c r="F411" s="80"/>
      <c r="G411" s="80"/>
      <c r="H411" s="134">
        <f t="shared" si="20"/>
        <v>0</v>
      </c>
      <c r="I411" s="115"/>
      <c r="J411" s="116"/>
      <c r="K411" s="117"/>
      <c r="L411" s="116"/>
      <c r="M411" s="118"/>
      <c r="N411" s="96"/>
      <c r="O411" s="96"/>
      <c r="P411" s="97"/>
      <c r="Q411" s="97"/>
      <c r="R411" s="12"/>
      <c r="S411" s="12"/>
      <c r="T411" s="13"/>
      <c r="U411" s="88"/>
      <c r="V411" s="26"/>
    </row>
    <row r="412" spans="2:22" s="7" customFormat="1" ht="49.5" hidden="1" customHeight="1">
      <c r="B412" s="139" t="s">
        <v>140</v>
      </c>
      <c r="C412" s="85">
        <f t="shared" ref="C412:C445" si="22">C411+1</f>
        <v>67</v>
      </c>
      <c r="D412" s="91" t="s">
        <v>76</v>
      </c>
      <c r="E412" s="80"/>
      <c r="F412" s="80"/>
      <c r="G412" s="80"/>
      <c r="H412" s="134">
        <f t="shared" si="20"/>
        <v>0</v>
      </c>
      <c r="I412" s="115"/>
      <c r="J412" s="116"/>
      <c r="K412" s="117"/>
      <c r="L412" s="116"/>
      <c r="M412" s="118"/>
      <c r="N412" s="96"/>
      <c r="O412" s="96"/>
      <c r="P412" s="97"/>
      <c r="Q412" s="97"/>
      <c r="R412" s="12"/>
      <c r="S412" s="12"/>
      <c r="T412" s="13"/>
      <c r="U412" s="88"/>
      <c r="V412" s="26"/>
    </row>
    <row r="413" spans="2:22" s="7" customFormat="1" ht="49.5" hidden="1" customHeight="1">
      <c r="B413" s="139" t="s">
        <v>140</v>
      </c>
      <c r="C413" s="85">
        <f t="shared" si="22"/>
        <v>68</v>
      </c>
      <c r="D413" s="91" t="s">
        <v>76</v>
      </c>
      <c r="E413" s="80"/>
      <c r="F413" s="80"/>
      <c r="G413" s="80"/>
      <c r="H413" s="134">
        <f t="shared" si="20"/>
        <v>0</v>
      </c>
      <c r="I413" s="115"/>
      <c r="J413" s="116"/>
      <c r="K413" s="117"/>
      <c r="L413" s="116"/>
      <c r="M413" s="118"/>
      <c r="N413" s="96"/>
      <c r="O413" s="96"/>
      <c r="P413" s="97"/>
      <c r="Q413" s="97"/>
      <c r="R413" s="12"/>
      <c r="S413" s="12"/>
      <c r="T413" s="13"/>
      <c r="U413" s="88"/>
      <c r="V413" s="26"/>
    </row>
    <row r="414" spans="2:22" s="7" customFormat="1" ht="49.5" hidden="1" customHeight="1">
      <c r="B414" s="139" t="s">
        <v>140</v>
      </c>
      <c r="C414" s="85">
        <f t="shared" si="22"/>
        <v>69</v>
      </c>
      <c r="D414" s="91" t="s">
        <v>76</v>
      </c>
      <c r="E414" s="80"/>
      <c r="F414" s="80"/>
      <c r="G414" s="80"/>
      <c r="H414" s="134">
        <f t="shared" si="20"/>
        <v>0</v>
      </c>
      <c r="I414" s="115"/>
      <c r="J414" s="116"/>
      <c r="K414" s="117"/>
      <c r="L414" s="116"/>
      <c r="M414" s="118"/>
      <c r="N414" s="96"/>
      <c r="O414" s="96"/>
      <c r="P414" s="97"/>
      <c r="Q414" s="97"/>
      <c r="R414" s="12"/>
      <c r="S414" s="12"/>
      <c r="T414" s="13"/>
      <c r="U414" s="88"/>
      <c r="V414" s="26"/>
    </row>
    <row r="415" spans="2:22" s="7" customFormat="1" ht="49.5" hidden="1" customHeight="1">
      <c r="B415" s="139" t="s">
        <v>140</v>
      </c>
      <c r="C415" s="85">
        <f t="shared" si="22"/>
        <v>70</v>
      </c>
      <c r="D415" s="91" t="s">
        <v>76</v>
      </c>
      <c r="E415" s="80"/>
      <c r="F415" s="80"/>
      <c r="G415" s="80"/>
      <c r="H415" s="134">
        <f t="shared" si="20"/>
        <v>0</v>
      </c>
      <c r="I415" s="115"/>
      <c r="J415" s="116"/>
      <c r="K415" s="117"/>
      <c r="L415" s="116"/>
      <c r="M415" s="118"/>
      <c r="N415" s="96"/>
      <c r="O415" s="96"/>
      <c r="P415" s="97"/>
      <c r="Q415" s="97"/>
      <c r="R415" s="12"/>
      <c r="S415" s="12"/>
      <c r="T415" s="13"/>
      <c r="U415" s="88"/>
      <c r="V415" s="26"/>
    </row>
    <row r="416" spans="2:22" s="7" customFormat="1" ht="49.5" hidden="1" customHeight="1">
      <c r="B416" s="139" t="s">
        <v>140</v>
      </c>
      <c r="C416" s="85">
        <f t="shared" si="22"/>
        <v>71</v>
      </c>
      <c r="D416" s="91" t="s">
        <v>76</v>
      </c>
      <c r="E416" s="80"/>
      <c r="F416" s="80"/>
      <c r="G416" s="80"/>
      <c r="H416" s="134">
        <f t="shared" si="20"/>
        <v>0</v>
      </c>
      <c r="I416" s="115"/>
      <c r="J416" s="116"/>
      <c r="K416" s="117"/>
      <c r="L416" s="116"/>
      <c r="M416" s="118"/>
      <c r="N416" s="96"/>
      <c r="O416" s="96"/>
      <c r="P416" s="97"/>
      <c r="Q416" s="97"/>
      <c r="R416" s="12"/>
      <c r="S416" s="12"/>
      <c r="T416" s="13"/>
      <c r="U416" s="88"/>
      <c r="V416" s="26"/>
    </row>
    <row r="417" spans="2:22" s="7" customFormat="1" ht="49.5" hidden="1" customHeight="1">
      <c r="B417" s="139" t="s">
        <v>140</v>
      </c>
      <c r="C417" s="85">
        <f t="shared" si="22"/>
        <v>72</v>
      </c>
      <c r="D417" s="91" t="s">
        <v>76</v>
      </c>
      <c r="E417" s="80"/>
      <c r="F417" s="80"/>
      <c r="G417" s="80"/>
      <c r="H417" s="134">
        <f t="shared" si="20"/>
        <v>0</v>
      </c>
      <c r="I417" s="115"/>
      <c r="J417" s="116"/>
      <c r="K417" s="117"/>
      <c r="L417" s="116"/>
      <c r="M417" s="118"/>
      <c r="N417" s="96"/>
      <c r="O417" s="96"/>
      <c r="P417" s="97"/>
      <c r="Q417" s="97"/>
      <c r="R417" s="12"/>
      <c r="S417" s="12"/>
      <c r="T417" s="13"/>
      <c r="U417" s="88"/>
      <c r="V417" s="26"/>
    </row>
    <row r="418" spans="2:22" s="7" customFormat="1" ht="49.5" hidden="1" customHeight="1">
      <c r="B418" s="139" t="s">
        <v>140</v>
      </c>
      <c r="C418" s="85">
        <f t="shared" si="22"/>
        <v>73</v>
      </c>
      <c r="D418" s="91" t="s">
        <v>76</v>
      </c>
      <c r="E418" s="80"/>
      <c r="F418" s="80"/>
      <c r="G418" s="80"/>
      <c r="H418" s="134">
        <f t="shared" si="20"/>
        <v>0</v>
      </c>
      <c r="I418" s="115"/>
      <c r="J418" s="116"/>
      <c r="K418" s="117"/>
      <c r="L418" s="116"/>
      <c r="M418" s="118"/>
      <c r="N418" s="96"/>
      <c r="O418" s="96"/>
      <c r="P418" s="97"/>
      <c r="Q418" s="97"/>
      <c r="R418" s="12"/>
      <c r="S418" s="12"/>
      <c r="T418" s="13"/>
      <c r="U418" s="88"/>
      <c r="V418" s="26"/>
    </row>
    <row r="419" spans="2:22" s="7" customFormat="1" ht="49.5" hidden="1" customHeight="1">
      <c r="B419" s="139" t="s">
        <v>140</v>
      </c>
      <c r="C419" s="85">
        <f t="shared" si="22"/>
        <v>74</v>
      </c>
      <c r="D419" s="91" t="s">
        <v>76</v>
      </c>
      <c r="E419" s="80"/>
      <c r="F419" s="80"/>
      <c r="G419" s="80"/>
      <c r="H419" s="134">
        <f t="shared" si="20"/>
        <v>0</v>
      </c>
      <c r="I419" s="115"/>
      <c r="J419" s="116"/>
      <c r="K419" s="117"/>
      <c r="L419" s="116"/>
      <c r="M419" s="118"/>
      <c r="N419" s="96"/>
      <c r="O419" s="96"/>
      <c r="P419" s="97"/>
      <c r="Q419" s="97"/>
      <c r="R419" s="12"/>
      <c r="S419" s="12"/>
      <c r="T419" s="13"/>
      <c r="U419" s="88"/>
      <c r="V419" s="26"/>
    </row>
    <row r="420" spans="2:22" s="7" customFormat="1" ht="49.5" hidden="1" customHeight="1">
      <c r="B420" s="139" t="s">
        <v>140</v>
      </c>
      <c r="C420" s="85">
        <f t="shared" si="22"/>
        <v>75</v>
      </c>
      <c r="D420" s="91" t="s">
        <v>76</v>
      </c>
      <c r="E420" s="80"/>
      <c r="F420" s="80"/>
      <c r="G420" s="80"/>
      <c r="H420" s="134">
        <f t="shared" si="20"/>
        <v>0</v>
      </c>
      <c r="I420" s="115"/>
      <c r="J420" s="116"/>
      <c r="K420" s="117"/>
      <c r="L420" s="116"/>
      <c r="M420" s="118"/>
      <c r="N420" s="96"/>
      <c r="O420" s="96"/>
      <c r="P420" s="97"/>
      <c r="Q420" s="97"/>
      <c r="R420" s="12"/>
      <c r="S420" s="12"/>
      <c r="T420" s="13"/>
      <c r="U420" s="88"/>
      <c r="V420" s="26"/>
    </row>
    <row r="421" spans="2:22" s="7" customFormat="1" ht="49.5" hidden="1" customHeight="1">
      <c r="B421" s="139" t="s">
        <v>140</v>
      </c>
      <c r="C421" s="85">
        <f t="shared" si="22"/>
        <v>76</v>
      </c>
      <c r="D421" s="91" t="s">
        <v>76</v>
      </c>
      <c r="E421" s="80"/>
      <c r="F421" s="80"/>
      <c r="G421" s="80"/>
      <c r="H421" s="134">
        <f t="shared" si="20"/>
        <v>0</v>
      </c>
      <c r="I421" s="115"/>
      <c r="J421" s="116"/>
      <c r="K421" s="117"/>
      <c r="L421" s="116"/>
      <c r="M421" s="118"/>
      <c r="N421" s="96"/>
      <c r="O421" s="96"/>
      <c r="P421" s="97"/>
      <c r="Q421" s="97"/>
      <c r="R421" s="12"/>
      <c r="S421" s="12"/>
      <c r="T421" s="13"/>
      <c r="U421" s="88"/>
      <c r="V421" s="26"/>
    </row>
    <row r="422" spans="2:22" s="7" customFormat="1" ht="49.5" hidden="1" customHeight="1">
      <c r="B422" s="139" t="s">
        <v>140</v>
      </c>
      <c r="C422" s="85">
        <f t="shared" si="22"/>
        <v>77</v>
      </c>
      <c r="D422" s="91" t="s">
        <v>76</v>
      </c>
      <c r="E422" s="80"/>
      <c r="F422" s="80"/>
      <c r="G422" s="80"/>
      <c r="H422" s="134">
        <f t="shared" si="20"/>
        <v>0</v>
      </c>
      <c r="I422" s="115"/>
      <c r="J422" s="116"/>
      <c r="K422" s="117"/>
      <c r="L422" s="116"/>
      <c r="M422" s="118"/>
      <c r="N422" s="96"/>
      <c r="O422" s="96"/>
      <c r="P422" s="97"/>
      <c r="Q422" s="97"/>
      <c r="R422" s="12"/>
      <c r="S422" s="12"/>
      <c r="T422" s="13"/>
      <c r="U422" s="88"/>
      <c r="V422" s="26"/>
    </row>
    <row r="423" spans="2:22" s="7" customFormat="1" ht="49.5" hidden="1" customHeight="1">
      <c r="B423" s="139" t="s">
        <v>140</v>
      </c>
      <c r="C423" s="85">
        <f t="shared" si="22"/>
        <v>78</v>
      </c>
      <c r="D423" s="91" t="s">
        <v>76</v>
      </c>
      <c r="E423" s="80"/>
      <c r="F423" s="80"/>
      <c r="G423" s="80"/>
      <c r="H423" s="134">
        <f t="shared" si="20"/>
        <v>0</v>
      </c>
      <c r="I423" s="115"/>
      <c r="J423" s="116"/>
      <c r="K423" s="117"/>
      <c r="L423" s="116"/>
      <c r="M423" s="118"/>
      <c r="N423" s="96"/>
      <c r="O423" s="96"/>
      <c r="P423" s="97"/>
      <c r="Q423" s="97"/>
      <c r="R423" s="12"/>
      <c r="S423" s="12"/>
      <c r="T423" s="13"/>
      <c r="U423" s="88"/>
      <c r="V423" s="26"/>
    </row>
    <row r="424" spans="2:22" s="7" customFormat="1" ht="49.5" hidden="1" customHeight="1">
      <c r="B424" s="139" t="s">
        <v>140</v>
      </c>
      <c r="C424" s="85">
        <f t="shared" si="22"/>
        <v>79</v>
      </c>
      <c r="D424" s="91" t="s">
        <v>76</v>
      </c>
      <c r="E424" s="80"/>
      <c r="F424" s="80"/>
      <c r="G424" s="80"/>
      <c r="H424" s="134">
        <f t="shared" si="20"/>
        <v>0</v>
      </c>
      <c r="I424" s="115"/>
      <c r="J424" s="116"/>
      <c r="K424" s="117"/>
      <c r="L424" s="116"/>
      <c r="M424" s="118"/>
      <c r="N424" s="96"/>
      <c r="O424" s="96"/>
      <c r="P424" s="97"/>
      <c r="Q424" s="97"/>
      <c r="R424" s="12"/>
      <c r="S424" s="12"/>
      <c r="T424" s="13"/>
      <c r="U424" s="88"/>
      <c r="V424" s="26"/>
    </row>
    <row r="425" spans="2:22" s="7" customFormat="1" ht="49.5" hidden="1" customHeight="1">
      <c r="B425" s="139" t="s">
        <v>140</v>
      </c>
      <c r="C425" s="85">
        <f t="shared" si="22"/>
        <v>80</v>
      </c>
      <c r="D425" s="91" t="s">
        <v>76</v>
      </c>
      <c r="E425" s="80"/>
      <c r="F425" s="80"/>
      <c r="G425" s="80"/>
      <c r="H425" s="134">
        <f t="shared" si="20"/>
        <v>0</v>
      </c>
      <c r="I425" s="115"/>
      <c r="J425" s="116"/>
      <c r="K425" s="117"/>
      <c r="L425" s="116"/>
      <c r="M425" s="118"/>
      <c r="N425" s="96"/>
      <c r="O425" s="96"/>
      <c r="P425" s="97"/>
      <c r="Q425" s="97"/>
      <c r="R425" s="12"/>
      <c r="S425" s="12"/>
      <c r="T425" s="13"/>
      <c r="U425" s="88"/>
      <c r="V425" s="26"/>
    </row>
    <row r="426" spans="2:22" s="7" customFormat="1" ht="49.5" hidden="1" customHeight="1">
      <c r="B426" s="139" t="s">
        <v>140</v>
      </c>
      <c r="C426" s="85">
        <f t="shared" si="22"/>
        <v>81</v>
      </c>
      <c r="D426" s="91" t="s">
        <v>76</v>
      </c>
      <c r="E426" s="80"/>
      <c r="F426" s="80"/>
      <c r="G426" s="80"/>
      <c r="H426" s="134">
        <f t="shared" si="20"/>
        <v>0</v>
      </c>
      <c r="I426" s="115"/>
      <c r="J426" s="116"/>
      <c r="K426" s="117"/>
      <c r="L426" s="116"/>
      <c r="M426" s="118"/>
      <c r="N426" s="96"/>
      <c r="O426" s="96"/>
      <c r="P426" s="97"/>
      <c r="Q426" s="97"/>
      <c r="R426" s="12"/>
      <c r="S426" s="12"/>
      <c r="T426" s="13"/>
      <c r="U426" s="88"/>
      <c r="V426" s="26"/>
    </row>
    <row r="427" spans="2:22" s="7" customFormat="1" ht="49.5" hidden="1" customHeight="1">
      <c r="B427" s="139" t="s">
        <v>140</v>
      </c>
      <c r="C427" s="85">
        <f t="shared" si="22"/>
        <v>82</v>
      </c>
      <c r="D427" s="91" t="s">
        <v>76</v>
      </c>
      <c r="E427" s="80"/>
      <c r="F427" s="80"/>
      <c r="G427" s="80"/>
      <c r="H427" s="134">
        <f t="shared" si="20"/>
        <v>0</v>
      </c>
      <c r="I427" s="115"/>
      <c r="J427" s="116"/>
      <c r="K427" s="117"/>
      <c r="L427" s="116"/>
      <c r="M427" s="118"/>
      <c r="N427" s="96"/>
      <c r="O427" s="96"/>
      <c r="P427" s="97"/>
      <c r="Q427" s="97"/>
      <c r="R427" s="12"/>
      <c r="S427" s="12"/>
      <c r="T427" s="13"/>
      <c r="U427" s="88"/>
      <c r="V427" s="26"/>
    </row>
    <row r="428" spans="2:22" s="7" customFormat="1" ht="49.5" hidden="1" customHeight="1">
      <c r="B428" s="139" t="s">
        <v>140</v>
      </c>
      <c r="C428" s="85">
        <f t="shared" si="22"/>
        <v>83</v>
      </c>
      <c r="D428" s="91" t="s">
        <v>76</v>
      </c>
      <c r="E428" s="80"/>
      <c r="F428" s="80"/>
      <c r="G428" s="80"/>
      <c r="H428" s="134">
        <f t="shared" si="20"/>
        <v>0</v>
      </c>
      <c r="I428" s="115"/>
      <c r="J428" s="116"/>
      <c r="K428" s="117"/>
      <c r="L428" s="116"/>
      <c r="M428" s="118"/>
      <c r="N428" s="96"/>
      <c r="O428" s="96"/>
      <c r="P428" s="97"/>
      <c r="Q428" s="97"/>
      <c r="R428" s="12"/>
      <c r="S428" s="12"/>
      <c r="T428" s="13"/>
      <c r="U428" s="88"/>
      <c r="V428" s="26"/>
    </row>
    <row r="429" spans="2:22" s="7" customFormat="1" ht="49.5" hidden="1" customHeight="1">
      <c r="B429" s="139" t="s">
        <v>140</v>
      </c>
      <c r="C429" s="85">
        <f t="shared" si="22"/>
        <v>84</v>
      </c>
      <c r="D429" s="91" t="s">
        <v>76</v>
      </c>
      <c r="E429" s="80"/>
      <c r="F429" s="80"/>
      <c r="G429" s="80"/>
      <c r="H429" s="134">
        <f t="shared" si="20"/>
        <v>0</v>
      </c>
      <c r="I429" s="115"/>
      <c r="J429" s="116"/>
      <c r="K429" s="117"/>
      <c r="L429" s="116"/>
      <c r="M429" s="118"/>
      <c r="N429" s="96"/>
      <c r="O429" s="96"/>
      <c r="P429" s="97"/>
      <c r="Q429" s="97"/>
      <c r="R429" s="12"/>
      <c r="S429" s="12"/>
      <c r="T429" s="13"/>
      <c r="U429" s="88"/>
      <c r="V429" s="26"/>
    </row>
    <row r="430" spans="2:22" s="7" customFormat="1" ht="49.5" hidden="1" customHeight="1">
      <c r="B430" s="139" t="s">
        <v>140</v>
      </c>
      <c r="C430" s="85">
        <f t="shared" si="22"/>
        <v>85</v>
      </c>
      <c r="D430" s="91" t="s">
        <v>76</v>
      </c>
      <c r="E430" s="80"/>
      <c r="F430" s="80"/>
      <c r="G430" s="80"/>
      <c r="H430" s="134">
        <f t="shared" si="20"/>
        <v>0</v>
      </c>
      <c r="I430" s="115"/>
      <c r="J430" s="116"/>
      <c r="K430" s="117"/>
      <c r="L430" s="116"/>
      <c r="M430" s="118"/>
      <c r="N430" s="96"/>
      <c r="O430" s="96"/>
      <c r="P430" s="97"/>
      <c r="Q430" s="97"/>
      <c r="R430" s="12"/>
      <c r="S430" s="12"/>
      <c r="T430" s="13"/>
      <c r="U430" s="88"/>
      <c r="V430" s="26"/>
    </row>
    <row r="431" spans="2:22" s="7" customFormat="1" ht="49.5" hidden="1" customHeight="1">
      <c r="B431" s="139" t="s">
        <v>140</v>
      </c>
      <c r="C431" s="85">
        <f t="shared" si="22"/>
        <v>86</v>
      </c>
      <c r="D431" s="91" t="s">
        <v>76</v>
      </c>
      <c r="E431" s="80"/>
      <c r="F431" s="80"/>
      <c r="G431" s="80"/>
      <c r="H431" s="134">
        <f t="shared" si="20"/>
        <v>0</v>
      </c>
      <c r="I431" s="115"/>
      <c r="J431" s="116"/>
      <c r="K431" s="117"/>
      <c r="L431" s="116"/>
      <c r="M431" s="118"/>
      <c r="N431" s="96"/>
      <c r="O431" s="96"/>
      <c r="P431" s="97"/>
      <c r="Q431" s="97"/>
      <c r="R431" s="12"/>
      <c r="S431" s="12"/>
      <c r="T431" s="13"/>
      <c r="U431" s="88"/>
      <c r="V431" s="26"/>
    </row>
    <row r="432" spans="2:22" s="7" customFormat="1" ht="49.5" hidden="1" customHeight="1">
      <c r="B432" s="139" t="s">
        <v>140</v>
      </c>
      <c r="C432" s="85">
        <f t="shared" si="22"/>
        <v>87</v>
      </c>
      <c r="D432" s="91" t="s">
        <v>76</v>
      </c>
      <c r="E432" s="80"/>
      <c r="F432" s="80"/>
      <c r="G432" s="80"/>
      <c r="H432" s="134">
        <f t="shared" si="20"/>
        <v>0</v>
      </c>
      <c r="I432" s="115"/>
      <c r="J432" s="116"/>
      <c r="K432" s="117"/>
      <c r="L432" s="116"/>
      <c r="M432" s="118"/>
      <c r="N432" s="96"/>
      <c r="O432" s="96"/>
      <c r="P432" s="97"/>
      <c r="Q432" s="97"/>
      <c r="R432" s="12"/>
      <c r="S432" s="12"/>
      <c r="T432" s="13"/>
      <c r="U432" s="88"/>
      <c r="V432" s="26"/>
    </row>
    <row r="433" spans="2:22" s="7" customFormat="1" ht="49.5" hidden="1" customHeight="1">
      <c r="B433" s="139" t="s">
        <v>140</v>
      </c>
      <c r="C433" s="85">
        <f t="shared" si="22"/>
        <v>88</v>
      </c>
      <c r="D433" s="91" t="s">
        <v>76</v>
      </c>
      <c r="E433" s="80"/>
      <c r="F433" s="80"/>
      <c r="G433" s="80"/>
      <c r="H433" s="134">
        <f t="shared" si="20"/>
        <v>0</v>
      </c>
      <c r="I433" s="115"/>
      <c r="J433" s="116"/>
      <c r="K433" s="117"/>
      <c r="L433" s="116"/>
      <c r="M433" s="118"/>
      <c r="N433" s="96"/>
      <c r="O433" s="96"/>
      <c r="P433" s="97"/>
      <c r="Q433" s="97"/>
      <c r="R433" s="12"/>
      <c r="S433" s="12"/>
      <c r="T433" s="13"/>
      <c r="U433" s="88"/>
      <c r="V433" s="26"/>
    </row>
    <row r="434" spans="2:22" s="7" customFormat="1" ht="49.5" hidden="1" customHeight="1">
      <c r="B434" s="139" t="s">
        <v>140</v>
      </c>
      <c r="C434" s="85">
        <f t="shared" si="22"/>
        <v>89</v>
      </c>
      <c r="D434" s="91" t="s">
        <v>76</v>
      </c>
      <c r="E434" s="80"/>
      <c r="F434" s="80"/>
      <c r="G434" s="80"/>
      <c r="H434" s="134">
        <f t="shared" si="20"/>
        <v>0</v>
      </c>
      <c r="I434" s="115"/>
      <c r="J434" s="116"/>
      <c r="K434" s="117"/>
      <c r="L434" s="116"/>
      <c r="M434" s="118"/>
      <c r="N434" s="96"/>
      <c r="O434" s="96"/>
      <c r="P434" s="97"/>
      <c r="Q434" s="97"/>
      <c r="R434" s="12"/>
      <c r="S434" s="12"/>
      <c r="T434" s="13"/>
      <c r="U434" s="88"/>
      <c r="V434" s="26"/>
    </row>
    <row r="435" spans="2:22" s="7" customFormat="1" ht="49.5" hidden="1" customHeight="1">
      <c r="B435" s="139" t="s">
        <v>140</v>
      </c>
      <c r="C435" s="85">
        <f t="shared" si="22"/>
        <v>90</v>
      </c>
      <c r="D435" s="91" t="s">
        <v>76</v>
      </c>
      <c r="E435" s="80"/>
      <c r="F435" s="80"/>
      <c r="G435" s="80"/>
      <c r="H435" s="134">
        <f t="shared" si="20"/>
        <v>0</v>
      </c>
      <c r="I435" s="115"/>
      <c r="J435" s="116"/>
      <c r="K435" s="117"/>
      <c r="L435" s="116"/>
      <c r="M435" s="118"/>
      <c r="N435" s="96"/>
      <c r="O435" s="96"/>
      <c r="P435" s="97"/>
      <c r="Q435" s="97"/>
      <c r="R435" s="12"/>
      <c r="S435" s="12"/>
      <c r="T435" s="13"/>
      <c r="U435" s="88"/>
      <c r="V435" s="26"/>
    </row>
    <row r="436" spans="2:22" s="7" customFormat="1" ht="49.5" hidden="1" customHeight="1">
      <c r="B436" s="139" t="s">
        <v>140</v>
      </c>
      <c r="C436" s="85">
        <f t="shared" si="22"/>
        <v>91</v>
      </c>
      <c r="D436" s="91" t="s">
        <v>76</v>
      </c>
      <c r="E436" s="80"/>
      <c r="F436" s="80"/>
      <c r="G436" s="80"/>
      <c r="H436" s="134">
        <f t="shared" si="20"/>
        <v>0</v>
      </c>
      <c r="I436" s="115"/>
      <c r="J436" s="116"/>
      <c r="K436" s="117"/>
      <c r="L436" s="116"/>
      <c r="M436" s="118"/>
      <c r="N436" s="96"/>
      <c r="O436" s="96"/>
      <c r="P436" s="97"/>
      <c r="Q436" s="97"/>
      <c r="R436" s="12"/>
      <c r="S436" s="12"/>
      <c r="T436" s="13"/>
      <c r="V436" s="26"/>
    </row>
    <row r="437" spans="2:22" s="7" customFormat="1" ht="49.5" hidden="1" customHeight="1">
      <c r="B437" s="139" t="s">
        <v>140</v>
      </c>
      <c r="C437" s="85">
        <f t="shared" si="22"/>
        <v>92</v>
      </c>
      <c r="D437" s="91" t="s">
        <v>76</v>
      </c>
      <c r="E437" s="80"/>
      <c r="F437" s="80"/>
      <c r="G437" s="80"/>
      <c r="H437" s="134">
        <f t="shared" si="20"/>
        <v>0</v>
      </c>
      <c r="I437" s="115"/>
      <c r="J437" s="116"/>
      <c r="K437" s="117"/>
      <c r="L437" s="116"/>
      <c r="M437" s="118"/>
      <c r="N437" s="96"/>
      <c r="O437" s="96"/>
      <c r="P437" s="97"/>
      <c r="Q437" s="97"/>
      <c r="R437" s="10"/>
      <c r="S437" s="10"/>
      <c r="T437" s="11"/>
      <c r="V437" s="26"/>
    </row>
    <row r="438" spans="2:22" s="7" customFormat="1" ht="49.5" hidden="1" customHeight="1">
      <c r="B438" s="139" t="s">
        <v>140</v>
      </c>
      <c r="C438" s="85">
        <f t="shared" si="22"/>
        <v>93</v>
      </c>
      <c r="D438" s="91" t="s">
        <v>76</v>
      </c>
      <c r="E438" s="80"/>
      <c r="F438" s="80"/>
      <c r="G438" s="80"/>
      <c r="H438" s="134">
        <f t="shared" si="20"/>
        <v>0</v>
      </c>
      <c r="I438" s="115"/>
      <c r="J438" s="116"/>
      <c r="K438" s="117"/>
      <c r="L438" s="116"/>
      <c r="M438" s="118"/>
      <c r="N438" s="96"/>
      <c r="O438" s="96"/>
      <c r="P438" s="97"/>
      <c r="Q438" s="97"/>
      <c r="R438" s="12"/>
      <c r="S438" s="12"/>
      <c r="T438" s="13"/>
      <c r="V438" s="26"/>
    </row>
    <row r="439" spans="2:22" s="7" customFormat="1" ht="49.5" hidden="1" customHeight="1">
      <c r="B439" s="139" t="s">
        <v>140</v>
      </c>
      <c r="C439" s="85">
        <f t="shared" si="22"/>
        <v>94</v>
      </c>
      <c r="D439" s="91" t="s">
        <v>76</v>
      </c>
      <c r="E439" s="80"/>
      <c r="F439" s="80"/>
      <c r="G439" s="80"/>
      <c r="H439" s="134">
        <f t="shared" si="20"/>
        <v>0</v>
      </c>
      <c r="I439" s="115"/>
      <c r="J439" s="116"/>
      <c r="K439" s="117"/>
      <c r="L439" s="116"/>
      <c r="M439" s="118"/>
      <c r="N439" s="96"/>
      <c r="O439" s="96"/>
      <c r="P439" s="97"/>
      <c r="Q439" s="97"/>
      <c r="R439" s="12"/>
      <c r="S439" s="12"/>
      <c r="T439" s="13"/>
      <c r="V439" s="26"/>
    </row>
    <row r="440" spans="2:22" s="7" customFormat="1" ht="49.5" hidden="1" customHeight="1">
      <c r="B440" s="139" t="s">
        <v>140</v>
      </c>
      <c r="C440" s="85">
        <f t="shared" si="22"/>
        <v>95</v>
      </c>
      <c r="D440" s="91" t="s">
        <v>76</v>
      </c>
      <c r="E440" s="80"/>
      <c r="F440" s="80"/>
      <c r="G440" s="80"/>
      <c r="H440" s="134">
        <f t="shared" si="20"/>
        <v>0</v>
      </c>
      <c r="I440" s="115"/>
      <c r="J440" s="116"/>
      <c r="K440" s="117"/>
      <c r="L440" s="116"/>
      <c r="M440" s="118"/>
      <c r="N440" s="96"/>
      <c r="O440" s="96"/>
      <c r="P440" s="97"/>
      <c r="Q440" s="97"/>
      <c r="R440" s="12"/>
      <c r="S440" s="12"/>
      <c r="T440" s="13"/>
      <c r="V440" s="26"/>
    </row>
    <row r="441" spans="2:22" s="7" customFormat="1" ht="49.5" hidden="1" customHeight="1">
      <c r="B441" s="139" t="s">
        <v>140</v>
      </c>
      <c r="C441" s="85">
        <f t="shared" si="22"/>
        <v>96</v>
      </c>
      <c r="D441" s="91" t="s">
        <v>76</v>
      </c>
      <c r="E441" s="80"/>
      <c r="F441" s="80"/>
      <c r="G441" s="80"/>
      <c r="H441" s="134">
        <f t="shared" si="20"/>
        <v>0</v>
      </c>
      <c r="I441" s="115"/>
      <c r="J441" s="116"/>
      <c r="K441" s="117"/>
      <c r="L441" s="116"/>
      <c r="M441" s="118"/>
      <c r="N441" s="96"/>
      <c r="O441" s="96"/>
      <c r="P441" s="97"/>
      <c r="Q441" s="97"/>
      <c r="R441" s="12"/>
      <c r="S441" s="12"/>
      <c r="T441" s="13"/>
      <c r="V441" s="26"/>
    </row>
    <row r="442" spans="2:22" s="7" customFormat="1" ht="49.5" hidden="1" customHeight="1">
      <c r="B442" s="139" t="s">
        <v>140</v>
      </c>
      <c r="C442" s="85">
        <f t="shared" si="22"/>
        <v>97</v>
      </c>
      <c r="D442" s="91" t="s">
        <v>76</v>
      </c>
      <c r="E442" s="80"/>
      <c r="F442" s="80"/>
      <c r="G442" s="80"/>
      <c r="H442" s="134">
        <f t="shared" si="20"/>
        <v>0</v>
      </c>
      <c r="I442" s="115"/>
      <c r="J442" s="116"/>
      <c r="K442" s="117"/>
      <c r="L442" s="116"/>
      <c r="M442" s="118"/>
      <c r="N442" s="96"/>
      <c r="O442" s="96"/>
      <c r="P442" s="97"/>
      <c r="Q442" s="97"/>
      <c r="R442" s="12"/>
      <c r="S442" s="12"/>
      <c r="T442" s="13"/>
      <c r="V442" s="26"/>
    </row>
    <row r="443" spans="2:22" s="7" customFormat="1" ht="49.5" hidden="1" customHeight="1">
      <c r="B443" s="139" t="s">
        <v>140</v>
      </c>
      <c r="C443" s="85">
        <f t="shared" si="22"/>
        <v>98</v>
      </c>
      <c r="D443" s="91" t="s">
        <v>76</v>
      </c>
      <c r="E443" s="80"/>
      <c r="F443" s="80"/>
      <c r="G443" s="80"/>
      <c r="H443" s="134">
        <f t="shared" si="20"/>
        <v>0</v>
      </c>
      <c r="I443" s="115"/>
      <c r="J443" s="116"/>
      <c r="K443" s="117"/>
      <c r="L443" s="116"/>
      <c r="M443" s="118"/>
      <c r="N443" s="96"/>
      <c r="O443" s="96"/>
      <c r="P443" s="97"/>
      <c r="Q443" s="97"/>
      <c r="R443" s="12"/>
      <c r="S443" s="12"/>
      <c r="T443" s="13"/>
      <c r="V443" s="26"/>
    </row>
    <row r="444" spans="2:22" s="7" customFormat="1" ht="49.5" hidden="1" customHeight="1">
      <c r="B444" s="139" t="s">
        <v>140</v>
      </c>
      <c r="C444" s="85">
        <f t="shared" si="22"/>
        <v>99</v>
      </c>
      <c r="D444" s="91" t="s">
        <v>76</v>
      </c>
      <c r="E444" s="80"/>
      <c r="F444" s="80"/>
      <c r="G444" s="80"/>
      <c r="H444" s="134">
        <f t="shared" si="20"/>
        <v>0</v>
      </c>
      <c r="I444" s="115"/>
      <c r="J444" s="116"/>
      <c r="K444" s="117"/>
      <c r="L444" s="116"/>
      <c r="M444" s="118"/>
      <c r="N444" s="96"/>
      <c r="O444" s="96"/>
      <c r="P444" s="97"/>
      <c r="Q444" s="97"/>
      <c r="R444" s="10"/>
      <c r="S444" s="10"/>
      <c r="T444" s="11"/>
      <c r="V444" s="26"/>
    </row>
    <row r="445" spans="2:22" s="7" customFormat="1" ht="49.5" hidden="1" customHeight="1" thickBot="1">
      <c r="B445" s="140" t="s">
        <v>140</v>
      </c>
      <c r="C445" s="83">
        <f t="shared" si="22"/>
        <v>100</v>
      </c>
      <c r="D445" s="29" t="s">
        <v>76</v>
      </c>
      <c r="E445" s="82"/>
      <c r="F445" s="82"/>
      <c r="G445" s="82"/>
      <c r="H445" s="25">
        <f t="shared" si="20"/>
        <v>0</v>
      </c>
      <c r="I445" s="119"/>
      <c r="J445" s="120"/>
      <c r="K445" s="121"/>
      <c r="L445" s="120"/>
      <c r="M445" s="122"/>
      <c r="N445" s="98"/>
      <c r="O445" s="98"/>
      <c r="P445" s="99"/>
      <c r="Q445" s="99"/>
      <c r="R445" s="12"/>
      <c r="S445" s="12"/>
      <c r="T445" s="13"/>
      <c r="V445" s="26"/>
    </row>
    <row r="446" spans="2:22" s="7" customFormat="1" ht="49.5" customHeight="1" thickTop="1" thickBot="1">
      <c r="B446" s="141" t="s">
        <v>68</v>
      </c>
      <c r="C446" s="17"/>
      <c r="D446" s="92"/>
      <c r="E446" s="137"/>
      <c r="F446" s="137"/>
      <c r="G446" s="137"/>
      <c r="H446" s="18">
        <f>SUM(H346:H445)</f>
        <v>508000</v>
      </c>
      <c r="I446" s="123"/>
      <c r="J446" s="124"/>
      <c r="K446" s="124"/>
      <c r="L446" s="124"/>
      <c r="M446" s="124"/>
      <c r="N446" s="100"/>
      <c r="O446" s="100"/>
      <c r="P446" s="101"/>
      <c r="Q446" s="101"/>
      <c r="R446" s="8"/>
      <c r="S446" s="8"/>
      <c r="T446" s="9"/>
    </row>
    <row r="447" spans="2:22" s="7" customFormat="1" ht="49.5" customHeight="1" thickTop="1" thickBot="1">
      <c r="B447" s="142" t="s">
        <v>104</v>
      </c>
      <c r="C447" s="84">
        <v>1</v>
      </c>
      <c r="D447" s="28" t="s">
        <v>65</v>
      </c>
      <c r="E447" s="79"/>
      <c r="F447" s="79"/>
      <c r="G447" s="79"/>
      <c r="H447" s="136">
        <f>IF(L447&lt;=0,I447*J447,I447*J447*L447)</f>
        <v>150000</v>
      </c>
      <c r="I447" s="110">
        <v>5000</v>
      </c>
      <c r="J447" s="111">
        <v>15</v>
      </c>
      <c r="K447" s="112" t="s">
        <v>83</v>
      </c>
      <c r="L447" s="113">
        <v>2</v>
      </c>
      <c r="M447" s="114" t="s">
        <v>75</v>
      </c>
      <c r="N447" s="94" t="s">
        <v>109</v>
      </c>
      <c r="O447" s="94" t="s">
        <v>113</v>
      </c>
      <c r="P447" s="97" t="s">
        <v>122</v>
      </c>
      <c r="Q447" s="95" t="s">
        <v>110</v>
      </c>
      <c r="R447" s="8"/>
      <c r="S447" s="8"/>
      <c r="T447" s="9"/>
      <c r="V447" s="26"/>
    </row>
    <row r="448" spans="2:22" s="7" customFormat="1" ht="49.5" hidden="1" customHeight="1">
      <c r="B448" s="139" t="s">
        <v>104</v>
      </c>
      <c r="C448" s="85">
        <f>C447+1</f>
        <v>2</v>
      </c>
      <c r="D448" s="91" t="s">
        <v>65</v>
      </c>
      <c r="E448" s="80"/>
      <c r="F448" s="80"/>
      <c r="G448" s="80"/>
      <c r="H448" s="134">
        <f t="shared" ref="H448:H476" si="23">IF(L448&lt;=0,I448*J448,I448*J448*L448)</f>
        <v>0</v>
      </c>
      <c r="I448" s="115"/>
      <c r="J448" s="116"/>
      <c r="K448" s="117"/>
      <c r="L448" s="116"/>
      <c r="M448" s="118"/>
      <c r="N448" s="96"/>
      <c r="O448" s="96"/>
      <c r="P448" s="97"/>
      <c r="Q448" s="97"/>
      <c r="R448" s="10"/>
      <c r="S448" s="10"/>
      <c r="T448" s="11"/>
      <c r="V448" s="26"/>
    </row>
    <row r="449" spans="2:22" s="7" customFormat="1" ht="49.5" hidden="1" customHeight="1">
      <c r="B449" s="139" t="s">
        <v>104</v>
      </c>
      <c r="C449" s="85">
        <f t="shared" ref="C449:C476" si="24">C448+1</f>
        <v>3</v>
      </c>
      <c r="D449" s="91" t="s">
        <v>65</v>
      </c>
      <c r="E449" s="80"/>
      <c r="F449" s="80"/>
      <c r="G449" s="80"/>
      <c r="H449" s="134">
        <f t="shared" si="23"/>
        <v>0</v>
      </c>
      <c r="I449" s="115"/>
      <c r="J449" s="116"/>
      <c r="K449" s="117"/>
      <c r="L449" s="116"/>
      <c r="M449" s="118"/>
      <c r="N449" s="96"/>
      <c r="O449" s="96"/>
      <c r="P449" s="97"/>
      <c r="Q449" s="97"/>
      <c r="R449" s="12"/>
      <c r="S449" s="12"/>
      <c r="T449" s="13"/>
      <c r="V449" s="26"/>
    </row>
    <row r="450" spans="2:22" s="7" customFormat="1" ht="49.5" hidden="1" customHeight="1">
      <c r="B450" s="139" t="s">
        <v>104</v>
      </c>
      <c r="C450" s="85">
        <f t="shared" si="24"/>
        <v>4</v>
      </c>
      <c r="D450" s="91" t="s">
        <v>65</v>
      </c>
      <c r="E450" s="80"/>
      <c r="F450" s="80"/>
      <c r="G450" s="80"/>
      <c r="H450" s="134">
        <f t="shared" si="23"/>
        <v>0</v>
      </c>
      <c r="I450" s="115"/>
      <c r="J450" s="116"/>
      <c r="K450" s="117"/>
      <c r="L450" s="116"/>
      <c r="M450" s="118"/>
      <c r="N450" s="96"/>
      <c r="O450" s="96"/>
      <c r="P450" s="97"/>
      <c r="Q450" s="97"/>
      <c r="R450" s="12"/>
      <c r="S450" s="12"/>
      <c r="T450" s="13"/>
      <c r="V450" s="26"/>
    </row>
    <row r="451" spans="2:22" s="7" customFormat="1" ht="49.5" hidden="1" customHeight="1">
      <c r="B451" s="139" t="s">
        <v>104</v>
      </c>
      <c r="C451" s="85">
        <f t="shared" si="24"/>
        <v>5</v>
      </c>
      <c r="D451" s="91" t="s">
        <v>65</v>
      </c>
      <c r="E451" s="80"/>
      <c r="F451" s="80"/>
      <c r="G451" s="80"/>
      <c r="H451" s="134">
        <f t="shared" si="23"/>
        <v>0</v>
      </c>
      <c r="I451" s="115"/>
      <c r="J451" s="116"/>
      <c r="K451" s="117"/>
      <c r="L451" s="116"/>
      <c r="M451" s="118"/>
      <c r="N451" s="96"/>
      <c r="O451" s="96"/>
      <c r="P451" s="97"/>
      <c r="Q451" s="97"/>
      <c r="R451" s="12"/>
      <c r="S451" s="12"/>
      <c r="T451" s="13"/>
      <c r="V451" s="26"/>
    </row>
    <row r="452" spans="2:22" s="7" customFormat="1" ht="49.5" hidden="1" customHeight="1">
      <c r="B452" s="139" t="s">
        <v>104</v>
      </c>
      <c r="C452" s="85">
        <f t="shared" si="24"/>
        <v>6</v>
      </c>
      <c r="D452" s="91" t="s">
        <v>65</v>
      </c>
      <c r="E452" s="80"/>
      <c r="F452" s="80"/>
      <c r="G452" s="80"/>
      <c r="H452" s="134">
        <f t="shared" si="23"/>
        <v>0</v>
      </c>
      <c r="I452" s="115"/>
      <c r="J452" s="116"/>
      <c r="K452" s="117"/>
      <c r="L452" s="116"/>
      <c r="M452" s="118"/>
      <c r="N452" s="96"/>
      <c r="O452" s="96"/>
      <c r="P452" s="97"/>
      <c r="Q452" s="97"/>
      <c r="R452" s="12"/>
      <c r="S452" s="12"/>
      <c r="T452" s="13"/>
      <c r="V452" s="26"/>
    </row>
    <row r="453" spans="2:22" s="7" customFormat="1" ht="49.5" hidden="1" customHeight="1">
      <c r="B453" s="139" t="s">
        <v>104</v>
      </c>
      <c r="C453" s="85">
        <f t="shared" si="24"/>
        <v>7</v>
      </c>
      <c r="D453" s="91" t="s">
        <v>65</v>
      </c>
      <c r="E453" s="80"/>
      <c r="F453" s="80"/>
      <c r="G453" s="80"/>
      <c r="H453" s="134">
        <f t="shared" si="23"/>
        <v>0</v>
      </c>
      <c r="I453" s="115"/>
      <c r="J453" s="116"/>
      <c r="K453" s="117"/>
      <c r="L453" s="116"/>
      <c r="M453" s="118"/>
      <c r="N453" s="96"/>
      <c r="O453" s="96"/>
      <c r="P453" s="97"/>
      <c r="Q453" s="97"/>
      <c r="R453" s="10"/>
      <c r="S453" s="10"/>
      <c r="T453" s="11"/>
      <c r="V453" s="26"/>
    </row>
    <row r="454" spans="2:22" s="7" customFormat="1" ht="49.5" hidden="1" customHeight="1">
      <c r="B454" s="139" t="s">
        <v>104</v>
      </c>
      <c r="C454" s="85">
        <f t="shared" si="24"/>
        <v>8</v>
      </c>
      <c r="D454" s="91" t="s">
        <v>65</v>
      </c>
      <c r="E454" s="80"/>
      <c r="F454" s="80"/>
      <c r="G454" s="80"/>
      <c r="H454" s="134">
        <f t="shared" si="23"/>
        <v>0</v>
      </c>
      <c r="I454" s="115"/>
      <c r="J454" s="116"/>
      <c r="K454" s="117"/>
      <c r="L454" s="116"/>
      <c r="M454" s="118"/>
      <c r="N454" s="96"/>
      <c r="O454" s="96"/>
      <c r="P454" s="97"/>
      <c r="Q454" s="97"/>
      <c r="R454" s="12"/>
      <c r="S454" s="12"/>
      <c r="T454" s="13"/>
      <c r="V454" s="26"/>
    </row>
    <row r="455" spans="2:22" s="7" customFormat="1" ht="49.5" hidden="1" customHeight="1">
      <c r="B455" s="139" t="s">
        <v>104</v>
      </c>
      <c r="C455" s="85">
        <f t="shared" si="24"/>
        <v>9</v>
      </c>
      <c r="D455" s="91" t="s">
        <v>65</v>
      </c>
      <c r="E455" s="80"/>
      <c r="F455" s="80"/>
      <c r="G455" s="80"/>
      <c r="H455" s="134">
        <f t="shared" si="23"/>
        <v>0</v>
      </c>
      <c r="I455" s="115"/>
      <c r="J455" s="116"/>
      <c r="K455" s="117"/>
      <c r="L455" s="116"/>
      <c r="M455" s="118"/>
      <c r="N455" s="96"/>
      <c r="O455" s="96"/>
      <c r="P455" s="97"/>
      <c r="Q455" s="97"/>
      <c r="R455" s="12"/>
      <c r="S455" s="12"/>
      <c r="T455" s="13"/>
      <c r="V455" s="26"/>
    </row>
    <row r="456" spans="2:22" s="7" customFormat="1" ht="49.5" hidden="1" customHeight="1">
      <c r="B456" s="139" t="s">
        <v>104</v>
      </c>
      <c r="C456" s="85">
        <f t="shared" si="24"/>
        <v>10</v>
      </c>
      <c r="D456" s="91" t="s">
        <v>65</v>
      </c>
      <c r="E456" s="80"/>
      <c r="F456" s="80"/>
      <c r="G456" s="80"/>
      <c r="H456" s="134">
        <f t="shared" si="23"/>
        <v>0</v>
      </c>
      <c r="I456" s="115"/>
      <c r="J456" s="116"/>
      <c r="K456" s="117"/>
      <c r="L456" s="116"/>
      <c r="M456" s="118"/>
      <c r="N456" s="96"/>
      <c r="O456" s="96"/>
      <c r="P456" s="97"/>
      <c r="Q456" s="97"/>
      <c r="R456" s="12"/>
      <c r="S456" s="12"/>
      <c r="T456" s="13"/>
      <c r="V456" s="26"/>
    </row>
    <row r="457" spans="2:22" s="7" customFormat="1" ht="49.5" hidden="1" customHeight="1">
      <c r="B457" s="139" t="s">
        <v>104</v>
      </c>
      <c r="C457" s="85">
        <f t="shared" si="24"/>
        <v>11</v>
      </c>
      <c r="D457" s="91" t="s">
        <v>65</v>
      </c>
      <c r="E457" s="80"/>
      <c r="F457" s="80"/>
      <c r="G457" s="80"/>
      <c r="H457" s="134">
        <f t="shared" si="23"/>
        <v>0</v>
      </c>
      <c r="I457" s="115"/>
      <c r="J457" s="116"/>
      <c r="K457" s="117"/>
      <c r="L457" s="116"/>
      <c r="M457" s="118"/>
      <c r="N457" s="96"/>
      <c r="O457" s="96"/>
      <c r="P457" s="97"/>
      <c r="Q457" s="97"/>
      <c r="R457" s="12"/>
      <c r="S457" s="12"/>
      <c r="T457" s="13"/>
      <c r="V457" s="26"/>
    </row>
    <row r="458" spans="2:22" s="7" customFormat="1" ht="49.5" hidden="1" customHeight="1">
      <c r="B458" s="139" t="s">
        <v>104</v>
      </c>
      <c r="C458" s="85">
        <f t="shared" si="24"/>
        <v>12</v>
      </c>
      <c r="D458" s="91" t="s">
        <v>65</v>
      </c>
      <c r="E458" s="80"/>
      <c r="F458" s="80"/>
      <c r="G458" s="80"/>
      <c r="H458" s="134">
        <f t="shared" si="23"/>
        <v>0</v>
      </c>
      <c r="I458" s="115"/>
      <c r="J458" s="116"/>
      <c r="K458" s="117"/>
      <c r="L458" s="116"/>
      <c r="M458" s="118"/>
      <c r="N458" s="96"/>
      <c r="O458" s="96"/>
      <c r="P458" s="97"/>
      <c r="Q458" s="97"/>
      <c r="R458" s="10"/>
      <c r="S458" s="10"/>
      <c r="T458" s="11"/>
      <c r="V458" s="26"/>
    </row>
    <row r="459" spans="2:22" s="7" customFormat="1" ht="49.5" hidden="1" customHeight="1">
      <c r="B459" s="139" t="s">
        <v>104</v>
      </c>
      <c r="C459" s="85">
        <f t="shared" si="24"/>
        <v>13</v>
      </c>
      <c r="D459" s="91" t="s">
        <v>65</v>
      </c>
      <c r="E459" s="80"/>
      <c r="F459" s="80"/>
      <c r="G459" s="80"/>
      <c r="H459" s="134">
        <f t="shared" si="23"/>
        <v>0</v>
      </c>
      <c r="I459" s="115"/>
      <c r="J459" s="116"/>
      <c r="K459" s="117"/>
      <c r="L459" s="116"/>
      <c r="M459" s="118"/>
      <c r="N459" s="96"/>
      <c r="O459" s="96"/>
      <c r="P459" s="97"/>
      <c r="Q459" s="97"/>
      <c r="R459" s="12"/>
      <c r="S459" s="12"/>
      <c r="T459" s="13"/>
      <c r="V459" s="26"/>
    </row>
    <row r="460" spans="2:22" s="7" customFormat="1" ht="49.5" hidden="1" customHeight="1">
      <c r="B460" s="139" t="s">
        <v>104</v>
      </c>
      <c r="C460" s="85">
        <f t="shared" si="24"/>
        <v>14</v>
      </c>
      <c r="D460" s="91" t="s">
        <v>65</v>
      </c>
      <c r="E460" s="80"/>
      <c r="F460" s="80"/>
      <c r="G460" s="80"/>
      <c r="H460" s="134">
        <f t="shared" si="23"/>
        <v>0</v>
      </c>
      <c r="I460" s="115"/>
      <c r="J460" s="116"/>
      <c r="K460" s="117"/>
      <c r="L460" s="116"/>
      <c r="M460" s="118"/>
      <c r="N460" s="96"/>
      <c r="O460" s="96"/>
      <c r="P460" s="97"/>
      <c r="Q460" s="97"/>
      <c r="R460" s="12"/>
      <c r="S460" s="12"/>
      <c r="T460" s="13"/>
      <c r="V460" s="26"/>
    </row>
    <row r="461" spans="2:22" s="7" customFormat="1" ht="49.5" hidden="1" customHeight="1">
      <c r="B461" s="139" t="s">
        <v>104</v>
      </c>
      <c r="C461" s="85">
        <f t="shared" si="24"/>
        <v>15</v>
      </c>
      <c r="D461" s="91" t="s">
        <v>65</v>
      </c>
      <c r="E461" s="80"/>
      <c r="F461" s="80"/>
      <c r="G461" s="80"/>
      <c r="H461" s="134">
        <f t="shared" si="23"/>
        <v>0</v>
      </c>
      <c r="I461" s="115"/>
      <c r="J461" s="116"/>
      <c r="K461" s="117"/>
      <c r="L461" s="116"/>
      <c r="M461" s="118"/>
      <c r="N461" s="96"/>
      <c r="O461" s="96"/>
      <c r="P461" s="97"/>
      <c r="Q461" s="97"/>
      <c r="R461" s="12"/>
      <c r="S461" s="12"/>
      <c r="T461" s="13"/>
      <c r="V461" s="26"/>
    </row>
    <row r="462" spans="2:22" s="7" customFormat="1" ht="49.5" hidden="1" customHeight="1">
      <c r="B462" s="139" t="s">
        <v>104</v>
      </c>
      <c r="C462" s="85">
        <f t="shared" si="24"/>
        <v>16</v>
      </c>
      <c r="D462" s="91" t="s">
        <v>65</v>
      </c>
      <c r="E462" s="80"/>
      <c r="F462" s="80"/>
      <c r="G462" s="80"/>
      <c r="H462" s="134">
        <f t="shared" si="23"/>
        <v>0</v>
      </c>
      <c r="I462" s="115"/>
      <c r="J462" s="116"/>
      <c r="K462" s="117"/>
      <c r="L462" s="116"/>
      <c r="M462" s="118"/>
      <c r="N462" s="96"/>
      <c r="O462" s="96"/>
      <c r="P462" s="97"/>
      <c r="Q462" s="97"/>
      <c r="R462" s="12"/>
      <c r="S462" s="12"/>
      <c r="T462" s="13"/>
      <c r="V462" s="26"/>
    </row>
    <row r="463" spans="2:22" s="7" customFormat="1" ht="49.5" hidden="1" customHeight="1">
      <c r="B463" s="139" t="s">
        <v>104</v>
      </c>
      <c r="C463" s="85">
        <f t="shared" si="24"/>
        <v>17</v>
      </c>
      <c r="D463" s="91" t="s">
        <v>65</v>
      </c>
      <c r="E463" s="80"/>
      <c r="F463" s="80"/>
      <c r="G463" s="80"/>
      <c r="H463" s="134">
        <f t="shared" si="23"/>
        <v>0</v>
      </c>
      <c r="I463" s="115"/>
      <c r="J463" s="116"/>
      <c r="K463" s="117"/>
      <c r="L463" s="116"/>
      <c r="M463" s="118"/>
      <c r="N463" s="96"/>
      <c r="O463" s="96"/>
      <c r="P463" s="97"/>
      <c r="Q463" s="97"/>
      <c r="R463" s="10"/>
      <c r="S463" s="10"/>
      <c r="T463" s="11"/>
      <c r="V463" s="26"/>
    </row>
    <row r="464" spans="2:22" s="7" customFormat="1" ht="49.5" hidden="1" customHeight="1">
      <c r="B464" s="139" t="s">
        <v>104</v>
      </c>
      <c r="C464" s="85">
        <f t="shared" si="24"/>
        <v>18</v>
      </c>
      <c r="D464" s="91" t="s">
        <v>65</v>
      </c>
      <c r="E464" s="80"/>
      <c r="F464" s="80"/>
      <c r="G464" s="80"/>
      <c r="H464" s="134">
        <f t="shared" si="23"/>
        <v>0</v>
      </c>
      <c r="I464" s="115"/>
      <c r="J464" s="116"/>
      <c r="K464" s="117"/>
      <c r="L464" s="116"/>
      <c r="M464" s="118"/>
      <c r="N464" s="96"/>
      <c r="O464" s="96"/>
      <c r="P464" s="97"/>
      <c r="Q464" s="97"/>
      <c r="R464" s="12"/>
      <c r="S464" s="12"/>
      <c r="T464" s="13"/>
      <c r="V464" s="26"/>
    </row>
    <row r="465" spans="2:22" s="7" customFormat="1" ht="49.5" hidden="1" customHeight="1">
      <c r="B465" s="139" t="s">
        <v>104</v>
      </c>
      <c r="C465" s="85">
        <f t="shared" si="24"/>
        <v>19</v>
      </c>
      <c r="D465" s="91" t="s">
        <v>65</v>
      </c>
      <c r="E465" s="80"/>
      <c r="F465" s="80"/>
      <c r="G465" s="80"/>
      <c r="H465" s="134">
        <f t="shared" si="23"/>
        <v>0</v>
      </c>
      <c r="I465" s="115"/>
      <c r="J465" s="116"/>
      <c r="K465" s="117"/>
      <c r="L465" s="116"/>
      <c r="M465" s="118"/>
      <c r="N465" s="96"/>
      <c r="O465" s="96"/>
      <c r="P465" s="97"/>
      <c r="Q465" s="97"/>
      <c r="R465" s="12"/>
      <c r="S465" s="12"/>
      <c r="T465" s="13"/>
      <c r="V465" s="26"/>
    </row>
    <row r="466" spans="2:22" s="7" customFormat="1" ht="49.5" hidden="1" customHeight="1">
      <c r="B466" s="139" t="s">
        <v>104</v>
      </c>
      <c r="C466" s="85">
        <f t="shared" si="24"/>
        <v>20</v>
      </c>
      <c r="D466" s="91" t="s">
        <v>65</v>
      </c>
      <c r="E466" s="80"/>
      <c r="F466" s="80"/>
      <c r="G466" s="80"/>
      <c r="H466" s="134">
        <f t="shared" si="23"/>
        <v>0</v>
      </c>
      <c r="I466" s="115"/>
      <c r="J466" s="116"/>
      <c r="K466" s="117"/>
      <c r="L466" s="116"/>
      <c r="M466" s="118"/>
      <c r="N466" s="96"/>
      <c r="O466" s="96"/>
      <c r="P466" s="97"/>
      <c r="Q466" s="97"/>
      <c r="R466" s="12"/>
      <c r="S466" s="12"/>
      <c r="T466" s="13"/>
      <c r="V466" s="26"/>
    </row>
    <row r="467" spans="2:22" s="7" customFormat="1" ht="49.5" hidden="1" customHeight="1">
      <c r="B467" s="139" t="s">
        <v>104</v>
      </c>
      <c r="C467" s="85">
        <f t="shared" si="24"/>
        <v>21</v>
      </c>
      <c r="D467" s="91" t="s">
        <v>65</v>
      </c>
      <c r="E467" s="80"/>
      <c r="F467" s="80"/>
      <c r="G467" s="80"/>
      <c r="H467" s="134">
        <f t="shared" si="23"/>
        <v>0</v>
      </c>
      <c r="I467" s="115"/>
      <c r="J467" s="116"/>
      <c r="K467" s="117"/>
      <c r="L467" s="116"/>
      <c r="M467" s="118"/>
      <c r="N467" s="96"/>
      <c r="O467" s="96"/>
      <c r="P467" s="97"/>
      <c r="Q467" s="97"/>
      <c r="R467" s="12"/>
      <c r="S467" s="12"/>
      <c r="T467" s="13"/>
      <c r="V467" s="26"/>
    </row>
    <row r="468" spans="2:22" s="7" customFormat="1" ht="49.5" hidden="1" customHeight="1">
      <c r="B468" s="139" t="s">
        <v>104</v>
      </c>
      <c r="C468" s="85">
        <f t="shared" si="24"/>
        <v>22</v>
      </c>
      <c r="D468" s="91" t="s">
        <v>65</v>
      </c>
      <c r="E468" s="80"/>
      <c r="F468" s="80"/>
      <c r="G468" s="80"/>
      <c r="H468" s="134">
        <f t="shared" si="23"/>
        <v>0</v>
      </c>
      <c r="I468" s="115"/>
      <c r="J468" s="116"/>
      <c r="K468" s="117"/>
      <c r="L468" s="116"/>
      <c r="M468" s="118"/>
      <c r="N468" s="96"/>
      <c r="O468" s="96"/>
      <c r="P468" s="97"/>
      <c r="Q468" s="97"/>
      <c r="R468" s="10"/>
      <c r="S468" s="10"/>
      <c r="T468" s="11"/>
      <c r="V468" s="26"/>
    </row>
    <row r="469" spans="2:22" s="7" customFormat="1" ht="49.5" hidden="1" customHeight="1">
      <c r="B469" s="139" t="s">
        <v>104</v>
      </c>
      <c r="C469" s="85">
        <f t="shared" si="24"/>
        <v>23</v>
      </c>
      <c r="D469" s="91" t="s">
        <v>65</v>
      </c>
      <c r="E469" s="80"/>
      <c r="F469" s="80"/>
      <c r="G469" s="80"/>
      <c r="H469" s="134">
        <f t="shared" si="23"/>
        <v>0</v>
      </c>
      <c r="I469" s="115"/>
      <c r="J469" s="116"/>
      <c r="K469" s="117"/>
      <c r="L469" s="116"/>
      <c r="M469" s="118"/>
      <c r="N469" s="96"/>
      <c r="O469" s="96"/>
      <c r="P469" s="97"/>
      <c r="Q469" s="97"/>
      <c r="R469" s="12"/>
      <c r="S469" s="12"/>
      <c r="T469" s="13"/>
      <c r="V469" s="26"/>
    </row>
    <row r="470" spans="2:22" s="7" customFormat="1" ht="49.5" hidden="1" customHeight="1">
      <c r="B470" s="139" t="s">
        <v>104</v>
      </c>
      <c r="C470" s="85">
        <f t="shared" si="24"/>
        <v>24</v>
      </c>
      <c r="D470" s="91" t="s">
        <v>65</v>
      </c>
      <c r="E470" s="80"/>
      <c r="F470" s="80"/>
      <c r="G470" s="80"/>
      <c r="H470" s="134">
        <f t="shared" si="23"/>
        <v>0</v>
      </c>
      <c r="I470" s="115"/>
      <c r="J470" s="116"/>
      <c r="K470" s="117"/>
      <c r="L470" s="116"/>
      <c r="M470" s="118"/>
      <c r="N470" s="96"/>
      <c r="O470" s="96"/>
      <c r="P470" s="97"/>
      <c r="Q470" s="97"/>
      <c r="R470" s="12"/>
      <c r="S470" s="12"/>
      <c r="T470" s="13"/>
      <c r="V470" s="26"/>
    </row>
    <row r="471" spans="2:22" s="7" customFormat="1" ht="49.5" hidden="1" customHeight="1">
      <c r="B471" s="139" t="s">
        <v>104</v>
      </c>
      <c r="C471" s="85">
        <f t="shared" si="24"/>
        <v>25</v>
      </c>
      <c r="D471" s="91" t="s">
        <v>65</v>
      </c>
      <c r="E471" s="80"/>
      <c r="F471" s="80"/>
      <c r="G471" s="80"/>
      <c r="H471" s="134">
        <f t="shared" si="23"/>
        <v>0</v>
      </c>
      <c r="I471" s="115"/>
      <c r="J471" s="116"/>
      <c r="K471" s="117"/>
      <c r="L471" s="116"/>
      <c r="M471" s="118"/>
      <c r="N471" s="96"/>
      <c r="O471" s="96"/>
      <c r="P471" s="97"/>
      <c r="Q471" s="97"/>
      <c r="R471" s="12"/>
      <c r="S471" s="12"/>
      <c r="T471" s="13"/>
      <c r="V471" s="26"/>
    </row>
    <row r="472" spans="2:22" s="7" customFormat="1" ht="49.5" hidden="1" customHeight="1">
      <c r="B472" s="139" t="s">
        <v>104</v>
      </c>
      <c r="C472" s="85">
        <f t="shared" si="24"/>
        <v>26</v>
      </c>
      <c r="D472" s="91" t="s">
        <v>65</v>
      </c>
      <c r="E472" s="80"/>
      <c r="F472" s="80"/>
      <c r="G472" s="80"/>
      <c r="H472" s="134">
        <f t="shared" si="23"/>
        <v>0</v>
      </c>
      <c r="I472" s="115"/>
      <c r="J472" s="116"/>
      <c r="K472" s="117"/>
      <c r="L472" s="116"/>
      <c r="M472" s="118"/>
      <c r="N472" s="96"/>
      <c r="O472" s="96"/>
      <c r="P472" s="97"/>
      <c r="Q472" s="97"/>
      <c r="R472" s="12"/>
      <c r="S472" s="12"/>
      <c r="T472" s="13"/>
      <c r="V472" s="26"/>
    </row>
    <row r="473" spans="2:22" s="7" customFormat="1" ht="49.5" hidden="1" customHeight="1">
      <c r="B473" s="139" t="s">
        <v>104</v>
      </c>
      <c r="C473" s="85">
        <f t="shared" si="24"/>
        <v>27</v>
      </c>
      <c r="D473" s="91" t="s">
        <v>65</v>
      </c>
      <c r="E473" s="80"/>
      <c r="F473" s="80"/>
      <c r="G473" s="80"/>
      <c r="H473" s="134">
        <f t="shared" si="23"/>
        <v>0</v>
      </c>
      <c r="I473" s="115"/>
      <c r="J473" s="116"/>
      <c r="K473" s="117"/>
      <c r="L473" s="116"/>
      <c r="M473" s="118"/>
      <c r="N473" s="96"/>
      <c r="O473" s="96"/>
      <c r="P473" s="97"/>
      <c r="Q473" s="97"/>
      <c r="R473" s="12"/>
      <c r="S473" s="12"/>
      <c r="T473" s="13"/>
      <c r="V473" s="26"/>
    </row>
    <row r="474" spans="2:22" s="7" customFormat="1" ht="49.5" hidden="1" customHeight="1">
      <c r="B474" s="139" t="s">
        <v>104</v>
      </c>
      <c r="C474" s="85">
        <f t="shared" si="24"/>
        <v>28</v>
      </c>
      <c r="D474" s="91" t="s">
        <v>65</v>
      </c>
      <c r="E474" s="80"/>
      <c r="F474" s="80"/>
      <c r="G474" s="80"/>
      <c r="H474" s="134">
        <f t="shared" si="23"/>
        <v>0</v>
      </c>
      <c r="I474" s="115"/>
      <c r="J474" s="116"/>
      <c r="K474" s="117"/>
      <c r="L474" s="116"/>
      <c r="M474" s="118"/>
      <c r="N474" s="96"/>
      <c r="O474" s="96"/>
      <c r="P474" s="97"/>
      <c r="Q474" s="97"/>
      <c r="R474" s="12"/>
      <c r="S474" s="12"/>
      <c r="T474" s="13"/>
      <c r="V474" s="26"/>
    </row>
    <row r="475" spans="2:22" s="7" customFormat="1" ht="49.5" hidden="1" customHeight="1">
      <c r="B475" s="139" t="s">
        <v>104</v>
      </c>
      <c r="C475" s="85">
        <f t="shared" si="24"/>
        <v>29</v>
      </c>
      <c r="D475" s="91" t="s">
        <v>65</v>
      </c>
      <c r="E475" s="80"/>
      <c r="F475" s="80"/>
      <c r="G475" s="80"/>
      <c r="H475" s="134">
        <f t="shared" si="23"/>
        <v>0</v>
      </c>
      <c r="I475" s="115"/>
      <c r="J475" s="116"/>
      <c r="K475" s="117"/>
      <c r="L475" s="116"/>
      <c r="M475" s="118"/>
      <c r="N475" s="96"/>
      <c r="O475" s="96"/>
      <c r="P475" s="97"/>
      <c r="Q475" s="97"/>
      <c r="R475" s="10"/>
      <c r="S475" s="10"/>
      <c r="T475" s="11"/>
      <c r="V475" s="26"/>
    </row>
    <row r="476" spans="2:22" s="7" customFormat="1" ht="49.5" hidden="1" customHeight="1" thickBot="1">
      <c r="B476" s="140" t="s">
        <v>104</v>
      </c>
      <c r="C476" s="83">
        <f t="shared" si="24"/>
        <v>30</v>
      </c>
      <c r="D476" s="29" t="s">
        <v>65</v>
      </c>
      <c r="E476" s="82"/>
      <c r="F476" s="82"/>
      <c r="G476" s="82"/>
      <c r="H476" s="25">
        <f t="shared" si="23"/>
        <v>0</v>
      </c>
      <c r="I476" s="119"/>
      <c r="J476" s="120"/>
      <c r="K476" s="121"/>
      <c r="L476" s="120"/>
      <c r="M476" s="122"/>
      <c r="N476" s="98"/>
      <c r="O476" s="98"/>
      <c r="P476" s="99"/>
      <c r="Q476" s="99"/>
      <c r="R476" s="12"/>
      <c r="S476" s="12"/>
      <c r="T476" s="13"/>
      <c r="V476" s="26"/>
    </row>
    <row r="477" spans="2:22" s="7" customFormat="1" ht="49.5" customHeight="1" thickTop="1" thickBot="1">
      <c r="B477" s="141" t="s">
        <v>68</v>
      </c>
      <c r="C477" s="17"/>
      <c r="D477" s="92"/>
      <c r="E477" s="22"/>
      <c r="F477" s="81"/>
      <c r="G477" s="81"/>
      <c r="H477" s="18">
        <f>SUM(H447:H476)</f>
        <v>150000</v>
      </c>
      <c r="I477" s="123"/>
      <c r="J477" s="124"/>
      <c r="K477" s="124"/>
      <c r="L477" s="124"/>
      <c r="M477" s="124"/>
      <c r="N477" s="100"/>
      <c r="O477" s="100"/>
      <c r="P477" s="101"/>
      <c r="Q477" s="101"/>
      <c r="R477" s="8"/>
      <c r="S477" s="8"/>
      <c r="T477" s="9"/>
    </row>
    <row r="478" spans="2:22" ht="49.5" customHeight="1" thickTop="1"/>
  </sheetData>
  <sheetProtection algorithmName="SHA-512" hashValue="IOzpmk9FtrnR4clXveA4xISp/D5FFgddLNQY5ZkSMPTHaoB6JFSPOtkqR86y/9u9ummegVtwvHynf823qY/jTg==" saltValue="kuhjZK0tMailscnZyI6PpQ==" spinCount="100000" sheet="1" formatRows="0" autoFilter="0"/>
  <autoFilter ref="A6:AB477" xr:uid="{CAC808B5-399F-4734-9679-5047689125FC}">
    <filterColumn colId="7">
      <filters>
        <filter val="1,250,000"/>
        <filter val="1,498,000"/>
        <filter val="1,500,000"/>
        <filter val="1,687,500"/>
        <filter val="1,700,000"/>
        <filter val="1,718,000"/>
        <filter val="100,000"/>
        <filter val="108,000"/>
        <filter val="12,000"/>
        <filter val="13,500"/>
        <filter val="150,000"/>
        <filter val="168,000"/>
        <filter val="220,000"/>
        <filter val="250,000"/>
        <filter val="27,500"/>
        <filter val="400,000"/>
        <filter val="450,000"/>
        <filter val="500,000"/>
        <filter val="508,000"/>
        <filter val="60,000"/>
        <filter val="700,000"/>
      </filters>
    </filterColumn>
  </autoFilter>
  <mergeCells count="18">
    <mergeCell ref="B1:G1"/>
    <mergeCell ref="N1:P1"/>
    <mergeCell ref="O2:P2"/>
    <mergeCell ref="Q4:S4"/>
    <mergeCell ref="B5:B6"/>
    <mergeCell ref="C5:C6"/>
    <mergeCell ref="D5:D6"/>
    <mergeCell ref="E5:G5"/>
    <mergeCell ref="H5:H6"/>
    <mergeCell ref="I5:I6"/>
    <mergeCell ref="P5:P6"/>
    <mergeCell ref="Q5:Q6"/>
    <mergeCell ref="J5:J6"/>
    <mergeCell ref="K5:K6"/>
    <mergeCell ref="L5:L6"/>
    <mergeCell ref="M5:M6"/>
    <mergeCell ref="N5:N6"/>
    <mergeCell ref="O5:O6"/>
  </mergeCells>
  <phoneticPr fontId="7"/>
  <conditionalFormatting sqref="E7:G7">
    <cfRule type="containsBlanks" dxfId="28" priority="8">
      <formula>LEN(TRIM(E7))=0</formula>
    </cfRule>
  </conditionalFormatting>
  <conditionalFormatting sqref="E8:G66">
    <cfRule type="containsBlanks" dxfId="27" priority="33">
      <formula>LEN(TRIM(E8))=0</formula>
    </cfRule>
  </conditionalFormatting>
  <conditionalFormatting sqref="E68:G97">
    <cfRule type="containsBlanks" dxfId="26" priority="32">
      <formula>LEN(TRIM(E68))=0</formula>
    </cfRule>
  </conditionalFormatting>
  <conditionalFormatting sqref="E99:G128">
    <cfRule type="containsBlanks" dxfId="25" priority="31">
      <formula>LEN(TRIM(E99))=0</formula>
    </cfRule>
  </conditionalFormatting>
  <conditionalFormatting sqref="E130:G159">
    <cfRule type="containsBlanks" dxfId="24" priority="30">
      <formula>LEN(TRIM(E130))=0</formula>
    </cfRule>
  </conditionalFormatting>
  <conditionalFormatting sqref="E161:G220">
    <cfRule type="containsBlanks" dxfId="23" priority="34">
      <formula>LEN(TRIM(E161))=0</formula>
    </cfRule>
  </conditionalFormatting>
  <conditionalFormatting sqref="E222:G251">
    <cfRule type="containsBlanks" dxfId="22" priority="29">
      <formula>LEN(TRIM(E222))=0</formula>
    </cfRule>
  </conditionalFormatting>
  <conditionalFormatting sqref="E253:G282">
    <cfRule type="containsBlanks" dxfId="21" priority="28">
      <formula>LEN(TRIM(E253))=0</formula>
    </cfRule>
  </conditionalFormatting>
  <conditionalFormatting sqref="E284:G313">
    <cfRule type="containsBlanks" dxfId="20" priority="27">
      <formula>LEN(TRIM(E284))=0</formula>
    </cfRule>
  </conditionalFormatting>
  <conditionalFormatting sqref="E315:G344">
    <cfRule type="containsBlanks" dxfId="19" priority="26">
      <formula>LEN(TRIM(E315))=0</formula>
    </cfRule>
  </conditionalFormatting>
  <conditionalFormatting sqref="E346:G445">
    <cfRule type="containsBlanks" dxfId="18" priority="25">
      <formula>LEN(TRIM(E346))=0</formula>
    </cfRule>
  </conditionalFormatting>
  <conditionalFormatting sqref="E447:G476">
    <cfRule type="containsBlanks" dxfId="17" priority="24">
      <formula>LEN(TRIM(E447))=0</formula>
    </cfRule>
  </conditionalFormatting>
  <conditionalFormatting sqref="I7:P7">
    <cfRule type="expression" dxfId="12" priority="3">
      <formula>IF(LEN(I7)&lt;1,TRUE,FALSE)</formula>
    </cfRule>
  </conditionalFormatting>
  <conditionalFormatting sqref="I8:Q66">
    <cfRule type="expression" dxfId="11" priority="19">
      <formula>IF(LEN(I8)&lt;1,TRUE,FALSE)</formula>
    </cfRule>
  </conditionalFormatting>
  <conditionalFormatting sqref="I68:Q97">
    <cfRule type="expression" dxfId="10" priority="2">
      <formula>IF(LEN(I68)&lt;1,TRUE,FALSE)</formula>
    </cfRule>
  </conditionalFormatting>
  <conditionalFormatting sqref="I99:Q128">
    <cfRule type="expression" dxfId="9" priority="17">
      <formula>IF(LEN(I99)&lt;1,TRUE,FALSE)</formula>
    </cfRule>
  </conditionalFormatting>
  <conditionalFormatting sqref="I130:Q159">
    <cfRule type="expression" dxfId="8" priority="16">
      <formula>IF(LEN(I130)&lt;1,TRUE,FALSE)</formula>
    </cfRule>
  </conditionalFormatting>
  <conditionalFormatting sqref="I161:Q220">
    <cfRule type="expression" dxfId="7" priority="20">
      <formula>IF(LEN(I161)&lt;1,TRUE,FALSE)</formula>
    </cfRule>
  </conditionalFormatting>
  <conditionalFormatting sqref="I222:Q251">
    <cfRule type="expression" dxfId="6" priority="15">
      <formula>IF(LEN(I222)&lt;1,TRUE,FALSE)</formula>
    </cfRule>
  </conditionalFormatting>
  <conditionalFormatting sqref="I253:Q282">
    <cfRule type="expression" dxfId="5" priority="14">
      <formula>IF(LEN(I253)&lt;1,TRUE,FALSE)</formula>
    </cfRule>
  </conditionalFormatting>
  <conditionalFormatting sqref="I284:Q313">
    <cfRule type="expression" dxfId="4" priority="13">
      <formula>IF(LEN(I284)&lt;1,TRUE,FALSE)</formula>
    </cfRule>
  </conditionalFormatting>
  <conditionalFormatting sqref="I315:Q344">
    <cfRule type="expression" dxfId="3" priority="12">
      <formula>IF(LEN(I315)&lt;1,TRUE,FALSE)</formula>
    </cfRule>
  </conditionalFormatting>
  <conditionalFormatting sqref="I346:Q445">
    <cfRule type="expression" dxfId="2" priority="11">
      <formula>IF(LEN(I346)&lt;1,TRUE,FALSE)</formula>
    </cfRule>
  </conditionalFormatting>
  <conditionalFormatting sqref="I447:Q476">
    <cfRule type="expression" dxfId="1" priority="1">
      <formula>IF(LEN(I447)&lt;1,TRUE,FALSE)</formula>
    </cfRule>
  </conditionalFormatting>
  <conditionalFormatting sqref="O2:Q3">
    <cfRule type="cellIs" dxfId="0" priority="21" operator="equal">
      <formula>0</formula>
    </cfRule>
  </conditionalFormatting>
  <dataValidations count="4">
    <dataValidation type="list" allowBlank="1" showInputMessage="1" showErrorMessage="1" sqref="E161:G220 E447:G476 E68:G97 E99:G128 E130:G159 E222:G251 E253:G282 E284:G313 E315:G344 E346:G445 E7:G66" xr:uid="{D8B45614-9EFC-4948-B2D5-337E2220A3E9}">
      <formula1>"✓"</formula1>
    </dataValidation>
    <dataValidation allowBlank="1" showInputMessage="1" showErrorMessage="1" promptTitle="　　　　　　　　　　自動で記入" prompt="計算式を設定しています。_x000a_単価*数量*回数等＝小計" sqref="H161 H7 H315 H284 H68 H99 H253 H346 H222 H447 H130" xr:uid="{5943ED72-1206-4059-A25B-8CDF8871BF11}"/>
    <dataValidation allowBlank="1" showInputMessage="1" showErrorMessage="1" promptTitle="　　　　　　　　　　　自動で記入" prompt="計算式を設定しています。_x000a_単価*数量*回数等＝小計" sqref="H448:H476 H223:H251 H162:H220 H316:H344 H100:H128 H285:H313 H69:H97 H131:H159 H8:H66 H254:H282 H347:H445" xr:uid="{CFB554BE-26FE-4C12-BC2D-D22A9B4D9CEB}"/>
    <dataValidation allowBlank="1" showInputMessage="1" showErrorMessage="1" promptTitle="　　　　　　　　　　　自動で記入" prompt="計算式を設定しています。_x000a_sum" sqref="H98 H221 H67 H345 H160 H283 H129 H252 H446 E477:H477 H314" xr:uid="{7A9F6E5B-A42E-4D83-A7DE-6E93DAF39A3A}"/>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9" id="{EAF9AA34-648E-49C4-9D45-C718A4CC6F52}">
            <xm:f>'（様式３）支出計画書'!$C$9&lt;&gt;"✓"</xm:f>
            <x14:dxf>
              <fill>
                <patternFill>
                  <bgColor theme="0" tint="-0.14996795556505021"/>
                </patternFill>
              </fill>
            </x14:dxf>
          </x14:cfRule>
          <xm:sqref>E8:E66 E68:E97 E99:E128 E130:E159 E161:E220 E222:E251 E253:E282 E284:E313 E315:E344 E346:E445 E447:E476</xm:sqref>
        </x14:conditionalFormatting>
        <x14:conditionalFormatting xmlns:xm="http://schemas.microsoft.com/office/excel/2006/main">
          <x14:cfRule type="expression" priority="7" id="{9981444D-D05D-4238-9E93-BCAA20FE17BF}">
            <xm:f>'（様式３）支出計画書'!$C$9&lt;&gt;"✓"</xm:f>
            <x14:dxf>
              <fill>
                <patternFill>
                  <bgColor theme="0" tint="-0.14996795556505021"/>
                </patternFill>
              </fill>
            </x14:dxf>
          </x14:cfRule>
          <xm:sqref>E7:F7</xm:sqref>
        </x14:conditionalFormatting>
        <x14:conditionalFormatting xmlns:xm="http://schemas.microsoft.com/office/excel/2006/main">
          <x14:cfRule type="expression" priority="6" id="{59C4B0A4-7C71-4E8E-85BD-B1DD32CEA630}">
            <xm:f>'（様式３）支出計画書'!$D$9&lt;&gt;"✓"</xm:f>
            <x14:dxf>
              <fill>
                <patternFill>
                  <bgColor theme="0" tint="-0.14996795556505021"/>
                </patternFill>
              </fill>
            </x14:dxf>
          </x14:cfRule>
          <xm:sqref>F7:F66</xm:sqref>
        </x14:conditionalFormatting>
        <x14:conditionalFormatting xmlns:xm="http://schemas.microsoft.com/office/excel/2006/main">
          <x14:cfRule type="expression" priority="23" id="{09582730-CCD5-4551-94A8-3E4FE9FDAC6D}">
            <xm:f>'（様式３）支出計画書'!$D$9&lt;&gt;"✓"</xm:f>
            <x14:dxf>
              <fill>
                <patternFill>
                  <bgColor theme="0" tint="-0.14996795556505021"/>
                </patternFill>
              </fill>
            </x14:dxf>
          </x14:cfRule>
          <xm:sqref>F68:F97 F99:F128 F130:F159 F161:F220 F222:F251 F253:F282 F284:F313 F315:F344 F346:F445 F447:F476</xm:sqref>
        </x14:conditionalFormatting>
        <x14:conditionalFormatting xmlns:xm="http://schemas.microsoft.com/office/excel/2006/main">
          <x14:cfRule type="expression" priority="5" id="{61791A9D-D2CB-46CF-B157-0B30B9F468C4}">
            <xm:f>'（様式３）支出計画書'!$F$9&lt;&gt;"✓"</xm:f>
            <x14:dxf>
              <fill>
                <patternFill>
                  <bgColor theme="0" tint="-0.14996795556505021"/>
                </patternFill>
              </fill>
            </x14:dxf>
          </x14:cfRule>
          <xm:sqref>G7:G66</xm:sqref>
        </x14:conditionalFormatting>
        <x14:conditionalFormatting xmlns:xm="http://schemas.microsoft.com/office/excel/2006/main">
          <x14:cfRule type="expression" priority="22" id="{EDE6FCBF-DFEF-4D84-84B7-99E0FB80E068}">
            <xm:f>'（様式３）支出計画書'!$F$9&lt;&gt;"✓"</xm:f>
            <x14:dxf>
              <fill>
                <patternFill>
                  <bgColor theme="0" tint="-0.14996795556505021"/>
                </patternFill>
              </fill>
            </x14:dxf>
          </x14:cfRule>
          <xm:sqref>G68:G97 G99:G128 G130:G159 G161:G220 G222:G251 G253:G282 G284:G313 G315:G344 G346:G445 G447:G476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5d62dd2-e70f-4290-bbd3-5439846c62f9" xsi:nil="true"/>
    <lcf76f155ced4ddcb4097134ff3c332f xmlns="460a66c6-8bb0-4334-abc1-6836a0bf0bf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270E7F681EF8145B07E6423450B6F7C" ma:contentTypeVersion="11" ma:contentTypeDescription="新しいドキュメントを作成します。" ma:contentTypeScope="" ma:versionID="4017325e0b637373f4a2f4e356215263">
  <xsd:schema xmlns:xsd="http://www.w3.org/2001/XMLSchema" xmlns:xs="http://www.w3.org/2001/XMLSchema" xmlns:p="http://schemas.microsoft.com/office/2006/metadata/properties" xmlns:ns2="460a66c6-8bb0-4334-abc1-6836a0bf0bf6" xmlns:ns3="45d62dd2-e70f-4290-bbd3-5439846c62f9" targetNamespace="http://schemas.microsoft.com/office/2006/metadata/properties" ma:root="true" ma:fieldsID="651ef14b1e4ae38be17c7be5df9c013e" ns2:_="" ns3:_="">
    <xsd:import namespace="460a66c6-8bb0-4334-abc1-6836a0bf0bf6"/>
    <xsd:import namespace="45d62dd2-e70f-4290-bbd3-5439846c62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0a66c6-8bb0-4334-abc1-6836a0bf0b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c7b369e-aa46-478e-b93f-752aa8ff84c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5d62dd2-e70f-4290-bbd3-5439846c62f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ebfb03c-6663-46d5-a401-9fdda8156212}" ma:internalName="TaxCatchAll" ma:showField="CatchAllData" ma:web="45d62dd2-e70f-4290-bbd3-5439846c62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031662-A8E1-4255-8BCA-624CA3D3F56C}">
  <ds:schemaRefs>
    <ds:schemaRef ds:uri="http://schemas.microsoft.com/office/2006/metadata/properties"/>
    <ds:schemaRef ds:uri="http://schemas.microsoft.com/office/infopath/2007/PartnerControls"/>
    <ds:schemaRef ds:uri="45d62dd2-e70f-4290-bbd3-5439846c62f9"/>
    <ds:schemaRef ds:uri="460a66c6-8bb0-4334-abc1-6836a0bf0bf6"/>
  </ds:schemaRefs>
</ds:datastoreItem>
</file>

<file path=customXml/itemProps2.xml><?xml version="1.0" encoding="utf-8"?>
<ds:datastoreItem xmlns:ds="http://schemas.openxmlformats.org/officeDocument/2006/customXml" ds:itemID="{21B2D975-697D-4F51-A660-650E000616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0a66c6-8bb0-4334-abc1-6836a0bf0bf6"/>
    <ds:schemaRef ds:uri="45d62dd2-e70f-4290-bbd3-5439846c62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060168-8542-4A7B-835D-08EE8B55B5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（様式３）支出計画書</vt:lpstr>
      <vt:lpstr>（別添）積算明細書</vt:lpstr>
      <vt:lpstr>リスト</vt:lpstr>
      <vt:lpstr>（別添）積算明細書 (記入例)</vt:lpstr>
      <vt:lpstr>'（様式３）支出計画書'!Print_Area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2018-04-13T10:29:10Z</dcterms:created>
  <dcterms:modified xsi:type="dcterms:W3CDTF">2026-08-14T08:37:13Z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0x0101001270E7F681EF8145B07E6423450B6F7C</vt:lpwstr>
  </property>
  <property fmtid="{D5CDD505-2E9C-101B-9397-08002B2CF9AE}" pid="3" name="MediaServiceImageTags">
    <vt:lpwstr/>
  </property>
</Properties>
</file>