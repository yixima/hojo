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defaultThemeVersion="166925"/>
  <mc:AlternateContent xmlns:mc="http://schemas.openxmlformats.org/markup-compatibility/2006">
    <mc:Choice Requires="x15">
      <x15ac:absPath xmlns:x15ac="http://schemas.microsoft.com/office/spreadsheetml/2010/11/ac" url="https://jskbh.sharepoint.com/sites/collabomgmt/Shared Documents/General/00.〈共同・協業型〉小規模事業者持続化補助金/11.案/3回準備/01_01_申請様式/"/>
    </mc:Choice>
  </mc:AlternateContent>
  <xr:revisionPtr revIDLastSave="24" documentId="13_ncr:1_{5021595E-4FCD-4065-A291-18E3BCD9B9C6}" xr6:coauthVersionLast="47" xr6:coauthVersionMax="47" xr10:uidLastSave="{C2154493-66FC-4B7C-8260-9790E2B7FF51}"/>
  <bookViews>
    <workbookView xWindow="28680" yWindow="-120" windowWidth="29040" windowHeight="15720" xr2:uid="{6E8CCBCA-C1DF-41B8-80C6-28FD3FA869F0}"/>
  </bookViews>
  <sheets>
    <sheet name="（様式2-2）参画事業者一覧" sheetId="5" r:id="rId1"/>
    <sheet name="（別添）申請者との関係" sheetId="10" r:id="rId2"/>
  </sheets>
  <definedNames>
    <definedName name="_xlnm.Print_Area" localSheetId="1">'（別添）申請者との関係'!$A$1:$I$107</definedName>
    <definedName name="_xlnm.Print_Area" localSheetId="0">'（様式2-2）参画事業者一覧'!$A$1:$AM$131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F26" i="5" l="1"/>
  <c r="P6" i="5" l="1"/>
  <c r="P5" i="5"/>
  <c r="AF25" i="5"/>
  <c r="AF21" i="5"/>
  <c r="AF22" i="5"/>
  <c r="AF23" i="5"/>
  <c r="AF24" i="5"/>
  <c r="AF20" i="5"/>
  <c r="AP33" i="5"/>
  <c r="AP34" i="5"/>
  <c r="AP35" i="5"/>
  <c r="AP36" i="5"/>
  <c r="AP37" i="5"/>
  <c r="AP38" i="5"/>
  <c r="AP39" i="5"/>
  <c r="AP40" i="5"/>
  <c r="AP41" i="5"/>
  <c r="AP42" i="5"/>
  <c r="AP43" i="5"/>
  <c r="AP44" i="5"/>
  <c r="AP45" i="5"/>
  <c r="AP46" i="5"/>
  <c r="AP47" i="5"/>
  <c r="AP48" i="5"/>
  <c r="AP49" i="5"/>
  <c r="AP50" i="5"/>
  <c r="AP51" i="5"/>
  <c r="AP52" i="5"/>
  <c r="AP53" i="5"/>
  <c r="AP54" i="5"/>
  <c r="AP55" i="5"/>
  <c r="AP56" i="5"/>
  <c r="AP57" i="5"/>
  <c r="AP58" i="5"/>
  <c r="AP59" i="5"/>
  <c r="AP60" i="5"/>
  <c r="AP61" i="5"/>
  <c r="AP62" i="5"/>
  <c r="AP63" i="5"/>
  <c r="AP64" i="5"/>
  <c r="AP65" i="5"/>
  <c r="AP66" i="5"/>
  <c r="AP67" i="5"/>
  <c r="AP68" i="5"/>
  <c r="AP69" i="5"/>
  <c r="AP70" i="5"/>
  <c r="AP71" i="5"/>
  <c r="AP72" i="5"/>
  <c r="AP73" i="5"/>
  <c r="AP74" i="5"/>
  <c r="AP75" i="5"/>
  <c r="AP76" i="5"/>
  <c r="AP77" i="5"/>
  <c r="AP78" i="5"/>
  <c r="AP79" i="5"/>
  <c r="AP80" i="5"/>
  <c r="AP81" i="5"/>
  <c r="AP82" i="5"/>
  <c r="AP83" i="5"/>
  <c r="AP84" i="5"/>
  <c r="AP85" i="5"/>
  <c r="AP86" i="5"/>
  <c r="AP87" i="5"/>
  <c r="AP88" i="5"/>
  <c r="AP89" i="5"/>
  <c r="AP90" i="5"/>
  <c r="AP91" i="5"/>
  <c r="AP92" i="5"/>
  <c r="AP93" i="5"/>
  <c r="AP94" i="5"/>
  <c r="AP95" i="5"/>
  <c r="AP96" i="5"/>
  <c r="AP97" i="5"/>
  <c r="AP98" i="5"/>
  <c r="AP99" i="5"/>
  <c r="AP100" i="5"/>
  <c r="AP101" i="5"/>
  <c r="AP102" i="5"/>
  <c r="AP103" i="5"/>
  <c r="AP104" i="5"/>
  <c r="AP105" i="5"/>
  <c r="AP106" i="5"/>
  <c r="AP107" i="5"/>
  <c r="AP108" i="5"/>
  <c r="AP109" i="5"/>
  <c r="AP110" i="5"/>
  <c r="AP111" i="5"/>
  <c r="AP112" i="5"/>
  <c r="AP113" i="5"/>
  <c r="AP114" i="5"/>
  <c r="AP115" i="5"/>
  <c r="AP116" i="5"/>
  <c r="AP117" i="5"/>
  <c r="AP118" i="5"/>
  <c r="AP119" i="5"/>
  <c r="AP120" i="5"/>
  <c r="AP121" i="5"/>
  <c r="AP122" i="5"/>
  <c r="AP123" i="5"/>
  <c r="AP124" i="5"/>
  <c r="AP125" i="5"/>
  <c r="AP126" i="5"/>
  <c r="AP127" i="5"/>
  <c r="AP128" i="5"/>
  <c r="AP129" i="5"/>
  <c r="AP130" i="5"/>
  <c r="AP131" i="5"/>
  <c r="AP32" i="5"/>
  <c r="P7" i="5"/>
  <c r="B9" i="10" l="1"/>
  <c r="B10" i="10"/>
  <c r="B11" i="10"/>
  <c r="B12" i="10"/>
  <c r="B13" i="10"/>
  <c r="B14" i="10"/>
  <c r="B15" i="10"/>
  <c r="B16" i="10"/>
  <c r="B17" i="10"/>
  <c r="B18" i="10"/>
  <c r="B19" i="10"/>
  <c r="B20" i="10"/>
  <c r="B21" i="10"/>
  <c r="B22" i="10"/>
  <c r="B23" i="10"/>
  <c r="B24" i="10"/>
  <c r="B25" i="10"/>
  <c r="B26" i="10"/>
  <c r="B27" i="10"/>
  <c r="B28" i="10"/>
  <c r="B29" i="10"/>
  <c r="B30" i="10"/>
  <c r="B31" i="10"/>
  <c r="B32" i="10"/>
  <c r="B33" i="10"/>
  <c r="B34" i="10"/>
  <c r="B35" i="10"/>
  <c r="B36" i="10"/>
  <c r="B37" i="10"/>
  <c r="B38" i="10"/>
  <c r="B39" i="10"/>
  <c r="B40" i="10"/>
  <c r="B41" i="10"/>
  <c r="B42" i="10"/>
  <c r="B43" i="10"/>
  <c r="B44" i="10"/>
  <c r="B45" i="10"/>
  <c r="B46" i="10"/>
  <c r="B47" i="10"/>
  <c r="B48" i="10"/>
  <c r="B49" i="10"/>
  <c r="B50" i="10"/>
  <c r="B51" i="10"/>
  <c r="B52" i="10"/>
  <c r="B53" i="10"/>
  <c r="B54" i="10"/>
  <c r="B55" i="10"/>
  <c r="B56" i="10"/>
  <c r="B57" i="10"/>
  <c r="B58" i="10"/>
  <c r="B59" i="10"/>
  <c r="B60" i="10"/>
  <c r="B61" i="10"/>
  <c r="B62" i="10"/>
  <c r="B63" i="10"/>
  <c r="B64" i="10"/>
  <c r="B65" i="10"/>
  <c r="B66" i="10"/>
  <c r="B67" i="10"/>
  <c r="B68" i="10"/>
  <c r="B69" i="10"/>
  <c r="B70" i="10"/>
  <c r="B71" i="10"/>
  <c r="B72" i="10"/>
  <c r="B73" i="10"/>
  <c r="B74" i="10"/>
  <c r="B75" i="10"/>
  <c r="B76" i="10"/>
  <c r="B77" i="10"/>
  <c r="B78" i="10"/>
  <c r="B79" i="10"/>
  <c r="B80" i="10"/>
  <c r="B81" i="10"/>
  <c r="B82" i="10"/>
  <c r="B83" i="10"/>
  <c r="B84" i="10"/>
  <c r="B85" i="10"/>
  <c r="B86" i="10"/>
  <c r="B87" i="10"/>
  <c r="B88" i="10"/>
  <c r="B89" i="10"/>
  <c r="B90" i="10"/>
  <c r="B91" i="10"/>
  <c r="B92" i="10"/>
  <c r="B93" i="10"/>
  <c r="B94" i="10"/>
  <c r="B95" i="10"/>
  <c r="B96" i="10"/>
  <c r="B97" i="10"/>
  <c r="B98" i="10"/>
  <c r="B99" i="10"/>
  <c r="B100" i="10"/>
  <c r="B101" i="10"/>
  <c r="B102" i="10"/>
  <c r="B103" i="10"/>
  <c r="B104" i="10"/>
  <c r="B105" i="10"/>
  <c r="B106" i="10"/>
  <c r="B107" i="10"/>
  <c r="AT33" i="5" l="1"/>
  <c r="AS33" i="5" s="1"/>
  <c r="AT34" i="5"/>
  <c r="AS34" i="5" s="1"/>
  <c r="AT35" i="5"/>
  <c r="AS35" i="5" s="1"/>
  <c r="AT36" i="5"/>
  <c r="AS36" i="5" s="1"/>
  <c r="AT37" i="5"/>
  <c r="AT38" i="5"/>
  <c r="AT39" i="5"/>
  <c r="AT40" i="5"/>
  <c r="AT41" i="5"/>
  <c r="AT42" i="5"/>
  <c r="AT43" i="5"/>
  <c r="AT44" i="5"/>
  <c r="AT45" i="5"/>
  <c r="AT46" i="5"/>
  <c r="AT47" i="5"/>
  <c r="AT48" i="5"/>
  <c r="AT49" i="5"/>
  <c r="AT50" i="5"/>
  <c r="AT51" i="5"/>
  <c r="AT52" i="5"/>
  <c r="AT53" i="5"/>
  <c r="AT54" i="5"/>
  <c r="AT55" i="5"/>
  <c r="AT56" i="5"/>
  <c r="AT57" i="5"/>
  <c r="AT58" i="5"/>
  <c r="AT59" i="5"/>
  <c r="AT60" i="5"/>
  <c r="AT61" i="5"/>
  <c r="AT62" i="5"/>
  <c r="AT63" i="5"/>
  <c r="AT64" i="5"/>
  <c r="AT65" i="5"/>
  <c r="AT66" i="5"/>
  <c r="AT67" i="5"/>
  <c r="AT68" i="5"/>
  <c r="AT69" i="5"/>
  <c r="AT70" i="5"/>
  <c r="AT71" i="5"/>
  <c r="AT72" i="5"/>
  <c r="AT73" i="5"/>
  <c r="AT74" i="5"/>
  <c r="AT75" i="5"/>
  <c r="AT76" i="5"/>
  <c r="AT77" i="5"/>
  <c r="AT78" i="5"/>
  <c r="AT79" i="5"/>
  <c r="AT80" i="5"/>
  <c r="AT81" i="5"/>
  <c r="AT82" i="5"/>
  <c r="AT83" i="5"/>
  <c r="AT84" i="5"/>
  <c r="AT85" i="5"/>
  <c r="AT86" i="5"/>
  <c r="AT87" i="5"/>
  <c r="AT88" i="5"/>
  <c r="AT89" i="5"/>
  <c r="AT90" i="5"/>
  <c r="AT91" i="5"/>
  <c r="AT92" i="5"/>
  <c r="AT93" i="5"/>
  <c r="AT94" i="5"/>
  <c r="AT95" i="5"/>
  <c r="AT96" i="5"/>
  <c r="AT97" i="5"/>
  <c r="AT98" i="5"/>
  <c r="AT99" i="5"/>
  <c r="AT100" i="5"/>
  <c r="AT101" i="5"/>
  <c r="AT102" i="5"/>
  <c r="AT103" i="5"/>
  <c r="AT104" i="5"/>
  <c r="AT105" i="5"/>
  <c r="AT106" i="5"/>
  <c r="AT107" i="5"/>
  <c r="AT108" i="5"/>
  <c r="AT109" i="5"/>
  <c r="AT110" i="5"/>
  <c r="AT111" i="5"/>
  <c r="AT112" i="5"/>
  <c r="AT113" i="5"/>
  <c r="AT114" i="5"/>
  <c r="AT115" i="5"/>
  <c r="AT116" i="5"/>
  <c r="AT117" i="5"/>
  <c r="AT118" i="5"/>
  <c r="AT119" i="5"/>
  <c r="AT120" i="5"/>
  <c r="AT121" i="5"/>
  <c r="AT122" i="5"/>
  <c r="AT123" i="5"/>
  <c r="AT124" i="5"/>
  <c r="AT125" i="5"/>
  <c r="AT126" i="5"/>
  <c r="AT127" i="5"/>
  <c r="AT128" i="5"/>
  <c r="AT129" i="5"/>
  <c r="AT130" i="5"/>
  <c r="AT131" i="5"/>
  <c r="AT32" i="5"/>
  <c r="AS66" i="5" l="1"/>
  <c r="AM66" i="5" s="1"/>
  <c r="AS41" i="5"/>
  <c r="AM41" i="5" s="1"/>
  <c r="AS80" i="5"/>
  <c r="AM80" i="5" s="1"/>
  <c r="AS91" i="5"/>
  <c r="AM91" i="5" s="1"/>
  <c r="AS43" i="5"/>
  <c r="AM43" i="5" s="1"/>
  <c r="AS42" i="5"/>
  <c r="AM42" i="5" s="1"/>
  <c r="AS40" i="5"/>
  <c r="AM40" i="5" s="1"/>
  <c r="AS116" i="5"/>
  <c r="AM116" i="5" s="1"/>
  <c r="AS92" i="5"/>
  <c r="AM92" i="5" s="1"/>
  <c r="AS44" i="5"/>
  <c r="AM44" i="5" s="1"/>
  <c r="AS103" i="5"/>
  <c r="AM103" i="5" s="1"/>
  <c r="AS55" i="5"/>
  <c r="AM55" i="5" s="1"/>
  <c r="AS114" i="5"/>
  <c r="AM114" i="5" s="1"/>
  <c r="AS78" i="5"/>
  <c r="AM78" i="5" s="1"/>
  <c r="AS125" i="5"/>
  <c r="AM125" i="5" s="1"/>
  <c r="AS89" i="5"/>
  <c r="AM89" i="5" s="1"/>
  <c r="AS64" i="5"/>
  <c r="AM64" i="5" s="1"/>
  <c r="AS104" i="5"/>
  <c r="AM104" i="5" s="1"/>
  <c r="AS127" i="5"/>
  <c r="AM127" i="5" s="1"/>
  <c r="AS79" i="5"/>
  <c r="AM79" i="5" s="1"/>
  <c r="AS126" i="5"/>
  <c r="AM126" i="5" s="1"/>
  <c r="AS90" i="5"/>
  <c r="AM90" i="5" s="1"/>
  <c r="AS101" i="5"/>
  <c r="AM101" i="5" s="1"/>
  <c r="AS53" i="5"/>
  <c r="AM53" i="5" s="1"/>
  <c r="AS112" i="5"/>
  <c r="AM112" i="5" s="1"/>
  <c r="AS88" i="5"/>
  <c r="AM88" i="5" s="1"/>
  <c r="AS111" i="5"/>
  <c r="AM111" i="5" s="1"/>
  <c r="AS75" i="5"/>
  <c r="AM75" i="5" s="1"/>
  <c r="AS39" i="5"/>
  <c r="AM39" i="5" s="1"/>
  <c r="AS62" i="5"/>
  <c r="AM62" i="5" s="1"/>
  <c r="AS37" i="5"/>
  <c r="AM37" i="5" s="1"/>
  <c r="AS128" i="5"/>
  <c r="AM128" i="5" s="1"/>
  <c r="AS56" i="5"/>
  <c r="AM56" i="5" s="1"/>
  <c r="AS115" i="5"/>
  <c r="AM115" i="5" s="1"/>
  <c r="AS54" i="5"/>
  <c r="AM54" i="5" s="1"/>
  <c r="AS77" i="5"/>
  <c r="AM77" i="5" s="1"/>
  <c r="AS52" i="5"/>
  <c r="AM52" i="5" s="1"/>
  <c r="AS73" i="5"/>
  <c r="AM73" i="5" s="1"/>
  <c r="AS76" i="5"/>
  <c r="AM76" i="5" s="1"/>
  <c r="AS51" i="5"/>
  <c r="AM51" i="5" s="1"/>
  <c r="AS122" i="5"/>
  <c r="AM122" i="5" s="1"/>
  <c r="AS98" i="5"/>
  <c r="AM98" i="5" s="1"/>
  <c r="AS74" i="5"/>
  <c r="AM74" i="5" s="1"/>
  <c r="AS50" i="5"/>
  <c r="AM50" i="5" s="1"/>
  <c r="AS121" i="5"/>
  <c r="AM121" i="5" s="1"/>
  <c r="AS97" i="5"/>
  <c r="AM97" i="5" s="1"/>
  <c r="AS85" i="5"/>
  <c r="AM85" i="5" s="1"/>
  <c r="AS49" i="5"/>
  <c r="AM49" i="5" s="1"/>
  <c r="AS32" i="5"/>
  <c r="AM32" i="5" s="1"/>
  <c r="V5" i="5" s="1"/>
  <c r="AS108" i="5"/>
  <c r="AM108" i="5" s="1"/>
  <c r="AS72" i="5"/>
  <c r="AM72" i="5" s="1"/>
  <c r="AS106" i="5"/>
  <c r="AM106" i="5" s="1"/>
  <c r="AS68" i="5"/>
  <c r="AM68" i="5" s="1"/>
  <c r="AS67" i="5"/>
  <c r="AM67" i="5" s="1"/>
  <c r="AS102" i="5"/>
  <c r="AM102" i="5" s="1"/>
  <c r="AS113" i="5"/>
  <c r="AM113" i="5" s="1"/>
  <c r="AS65" i="5"/>
  <c r="AM65" i="5" s="1"/>
  <c r="AS124" i="5"/>
  <c r="AM124" i="5" s="1"/>
  <c r="AS100" i="5"/>
  <c r="AM100" i="5" s="1"/>
  <c r="AS123" i="5"/>
  <c r="AM123" i="5" s="1"/>
  <c r="AS99" i="5"/>
  <c r="AM99" i="5" s="1"/>
  <c r="AS87" i="5"/>
  <c r="AM87" i="5" s="1"/>
  <c r="AS63" i="5"/>
  <c r="AM63" i="5" s="1"/>
  <c r="AS110" i="5"/>
  <c r="AM110" i="5" s="1"/>
  <c r="AS86" i="5"/>
  <c r="AM86" i="5" s="1"/>
  <c r="AS38" i="5"/>
  <c r="AM38" i="5" s="1"/>
  <c r="AS109" i="5"/>
  <c r="AM109" i="5" s="1"/>
  <c r="AS61" i="5"/>
  <c r="AM61" i="5" s="1"/>
  <c r="AS120" i="5"/>
  <c r="AM120" i="5" s="1"/>
  <c r="AS96" i="5"/>
  <c r="AM96" i="5" s="1"/>
  <c r="AS84" i="5"/>
  <c r="AM84" i="5" s="1"/>
  <c r="AS60" i="5"/>
  <c r="AM60" i="5" s="1"/>
  <c r="AS48" i="5"/>
  <c r="AM48" i="5" s="1"/>
  <c r="AS131" i="5"/>
  <c r="AM131" i="5" s="1"/>
  <c r="AS119" i="5"/>
  <c r="AM119" i="5" s="1"/>
  <c r="AS107" i="5"/>
  <c r="AM107" i="5" s="1"/>
  <c r="AS95" i="5"/>
  <c r="AM95" i="5" s="1"/>
  <c r="AS83" i="5"/>
  <c r="AM83" i="5" s="1"/>
  <c r="AS71" i="5"/>
  <c r="AM71" i="5" s="1"/>
  <c r="AS59" i="5"/>
  <c r="AM59" i="5" s="1"/>
  <c r="AS47" i="5"/>
  <c r="AM47" i="5" s="1"/>
  <c r="AS130" i="5"/>
  <c r="AM130" i="5" s="1"/>
  <c r="AS118" i="5"/>
  <c r="AM118" i="5" s="1"/>
  <c r="AS94" i="5"/>
  <c r="AM94" i="5" s="1"/>
  <c r="AS82" i="5"/>
  <c r="AM82" i="5" s="1"/>
  <c r="AS70" i="5"/>
  <c r="AM70" i="5" s="1"/>
  <c r="AS58" i="5"/>
  <c r="AM58" i="5" s="1"/>
  <c r="AS46" i="5"/>
  <c r="AM46" i="5" s="1"/>
  <c r="AS129" i="5"/>
  <c r="AM129" i="5" s="1"/>
  <c r="AS117" i="5"/>
  <c r="AM117" i="5" s="1"/>
  <c r="AS105" i="5"/>
  <c r="AM105" i="5" s="1"/>
  <c r="AS93" i="5"/>
  <c r="AM93" i="5" s="1"/>
  <c r="AS81" i="5"/>
  <c r="AM81" i="5" s="1"/>
  <c r="AS69" i="5"/>
  <c r="AM69" i="5" s="1"/>
  <c r="AS57" i="5"/>
  <c r="AM57" i="5" s="1"/>
  <c r="AS45" i="5"/>
  <c r="AM45" i="5" s="1"/>
  <c r="AM36" i="5"/>
  <c r="AM35" i="5"/>
  <c r="AM34" i="5"/>
  <c r="AM33" i="5"/>
  <c r="B8" i="10"/>
  <c r="AP5" i="5" l="1"/>
  <c r="Z5" i="5"/>
  <c r="H3" i="10"/>
  <c r="V6" i="5" l="1"/>
  <c r="V7" i="5"/>
  <c r="Z7" i="5" s="1"/>
  <c r="AP6" i="5" l="1"/>
  <c r="Z6" i="5"/>
  <c r="AP7"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水嶋 昇平</author>
  </authors>
  <commentList>
    <comment ref="A25" authorId="0" shapeId="0" xr:uid="{8B26B393-1CC1-4FE3-8E45-2629E8F555E2}">
      <text>
        <r>
          <rPr>
            <b/>
            <sz val="9"/>
            <color indexed="81"/>
            <rFont val="MS P ゴシック"/>
            <family val="3"/>
            <charset val="128"/>
          </rPr>
          <t xml:space="preserve">参画事業者の範囲
＜参画事業者とならない者＞
○医師、歯科医師、助産師
○系統出荷による収入のみである個人農業者（個人の林業・水産業者についても同様）
○協同組合等の組合（企業組合・協業組合を除く）
○一般社団法人、公益社団法人
〇一般財団法人、公益財団法人 
○医療法人
○宗教法人
○学校法人
○農事組合法人
○社会福祉法人
○特定非営利活動法人
○申請時に開業していない創業予定者（例えば、既に税務署に開業届を提出していても、開業届上の開業日が申請時よりも後の場合は対象外）
〇同一の申請回において、地域振興等機関として申請している（共同申請を含む）事業者
○任意団体　等
</t>
        </r>
        <r>
          <rPr>
            <sz val="9"/>
            <color indexed="81"/>
            <rFont val="MS P ゴシック"/>
            <family val="3"/>
            <charset val="128"/>
          </rPr>
          <t xml:space="preserve">
</t>
        </r>
      </text>
    </comment>
    <comment ref="X30" authorId="0" shapeId="0" xr:uid="{1612BBD8-9950-4BF9-A6FE-F8F60E80A76A}">
      <text>
        <r>
          <rPr>
            <b/>
            <sz val="9"/>
            <color indexed="81"/>
            <rFont val="MS P ゴシック"/>
            <family val="3"/>
            <charset val="128"/>
          </rPr>
          <t>従</t>
        </r>
        <r>
          <rPr>
            <b/>
            <sz val="9"/>
            <color indexed="81"/>
            <rFont val="Meiryo UI"/>
            <family val="3"/>
            <charset val="128"/>
          </rPr>
          <t>業員数(人)は公募要領の別添4小規模事業者についてをご参照ください。
※ 従業員がいない場合は0を入力してください。</t>
        </r>
        <r>
          <rPr>
            <sz val="9"/>
            <color indexed="81"/>
            <rFont val="Meiryo UI"/>
            <family val="3"/>
            <charset val="128"/>
          </rPr>
          <t xml:space="preserve">
</t>
        </r>
      </text>
    </comment>
    <comment ref="AM30" authorId="0" shapeId="0" xr:uid="{3D563BC5-474B-44FB-A427-2F8877027490}">
      <text>
        <r>
          <rPr>
            <b/>
            <sz val="9"/>
            <color indexed="81"/>
            <rFont val="Meiryo UI"/>
            <family val="3"/>
            <charset val="128"/>
          </rPr>
          <t>①～⑦のいずれかに該当する事業者は
参画事業者の要件(AM列)の関数を「-]に上書きして下さい。</t>
        </r>
        <r>
          <rPr>
            <sz val="9"/>
            <color indexed="81"/>
            <rFont val="Meiryo UI"/>
            <family val="3"/>
            <charset val="128"/>
          </rPr>
          <t xml:space="preserve">
</t>
        </r>
      </text>
    </comment>
  </commentList>
</comments>
</file>

<file path=xl/sharedStrings.xml><?xml version="1.0" encoding="utf-8"?>
<sst xmlns="http://schemas.openxmlformats.org/spreadsheetml/2006/main" count="98" uniqueCount="70">
  <si>
    <t>参画事業者一覧</t>
    <phoneticPr fontId="1"/>
  </si>
  <si>
    <t>（様式2-2）</t>
    <rPh sb="1" eb="3">
      <t>ヨウシキ</t>
    </rPh>
    <phoneticPr fontId="1"/>
  </si>
  <si>
    <t>申請者名</t>
    <rPh sb="0" eb="3">
      <t>シンセイシャ</t>
    </rPh>
    <rPh sb="3" eb="4">
      <t>メイ</t>
    </rPh>
    <phoneticPr fontId="1"/>
  </si>
  <si>
    <t>展示会・商談会の取組に参加する全ての事業者数</t>
    <phoneticPr fontId="1"/>
  </si>
  <si>
    <t>▶（うち参画事業者の要件を満たす事業者）</t>
    <phoneticPr fontId="1"/>
  </si>
  <si>
    <t>者</t>
    <rPh sb="0" eb="1">
      <t>シャ</t>
    </rPh>
    <phoneticPr fontId="1"/>
  </si>
  <si>
    <t>▶</t>
    <phoneticPr fontId="1"/>
  </si>
  <si>
    <t>（</t>
    <phoneticPr fontId="1"/>
  </si>
  <si>
    <t>）</t>
    <phoneticPr fontId="1"/>
  </si>
  <si>
    <t>催事販売の取組に参加する全ての事業者数</t>
    <phoneticPr fontId="1"/>
  </si>
  <si>
    <t>※参画事業者の要件については公募要領を参照。</t>
    <rPh sb="1" eb="6">
      <t>サンカクジギョウシャ</t>
    </rPh>
    <rPh sb="7" eb="9">
      <t>ヨウケン</t>
    </rPh>
    <rPh sb="14" eb="18">
      <t>コウボヨウリョウ</t>
    </rPh>
    <rPh sb="19" eb="21">
      <t>サンショウ</t>
    </rPh>
    <phoneticPr fontId="1"/>
  </si>
  <si>
    <t>[参画事業者一覧]</t>
    <rPh sb="1" eb="3">
      <t>サンカク</t>
    </rPh>
    <rPh sb="3" eb="6">
      <t>ジギョウシャ</t>
    </rPh>
    <rPh sb="6" eb="8">
      <t>イチラン</t>
    </rPh>
    <phoneticPr fontId="1"/>
  </si>
  <si>
    <t>※個人事業主の法人番号欄及び資本金欄は「0（ゼロ）」を記入する。</t>
    <phoneticPr fontId="1"/>
  </si>
  <si>
    <t>※事業者数が多く行が足りない場合は、事務局まで連絡すること。申請者が様式を変更してはならない。</t>
    <rPh sb="4" eb="5">
      <t>スウ</t>
    </rPh>
    <rPh sb="8" eb="9">
      <t>ギョウ</t>
    </rPh>
    <rPh sb="10" eb="11">
      <t>タ</t>
    </rPh>
    <rPh sb="14" eb="16">
      <t>バアイ</t>
    </rPh>
    <rPh sb="18" eb="21">
      <t>ジムキョク</t>
    </rPh>
    <rPh sb="23" eb="25">
      <t>レンラク</t>
    </rPh>
    <rPh sb="30" eb="33">
      <t>シンセイシャ</t>
    </rPh>
    <rPh sb="34" eb="36">
      <t>ヨウシキ</t>
    </rPh>
    <rPh sb="37" eb="39">
      <t>ヘンコウ</t>
    </rPh>
    <phoneticPr fontId="1"/>
  </si>
  <si>
    <t>※記載内容に不備がある場合は、参画事業者としては認められない。参画事業者は「商工業者」とする。</t>
    <phoneticPr fontId="1"/>
  </si>
  <si>
    <t>※従業員については、常時使用する従業員数を記入する。</t>
    <rPh sb="21" eb="23">
      <t>キニュウ</t>
    </rPh>
    <phoneticPr fontId="1"/>
  </si>
  <si>
    <t>※補助金事務局より、記載内容について問合せを行う場合がある。</t>
    <rPh sb="10" eb="12">
      <t>キサイ</t>
    </rPh>
    <rPh sb="12" eb="14">
      <t>ナイヨウ</t>
    </rPh>
    <rPh sb="22" eb="23">
      <t>オコナ</t>
    </rPh>
    <rPh sb="24" eb="26">
      <t>バアイ</t>
    </rPh>
    <phoneticPr fontId="1"/>
  </si>
  <si>
    <t>参画事業者に係る確認事項：参画事業者の要件に合致しているか確認し、次の項目にチェックをつける。</t>
    <phoneticPr fontId="1"/>
  </si>
  <si>
    <t>全事業者が該当しない</t>
    <phoneticPr fontId="1"/>
  </si>
  <si>
    <t>該当する事業者がいる</t>
    <phoneticPr fontId="1"/>
  </si>
  <si>
    <r>
      <rPr>
        <b/>
        <sz val="9"/>
        <color theme="1"/>
        <rFont val="Meiryo UI"/>
        <family val="3"/>
        <charset val="128"/>
      </rPr>
      <t>②全参画事業者が対象</t>
    </r>
    <r>
      <rPr>
        <sz val="9"/>
        <color theme="1"/>
        <rFont val="Meiryo UI"/>
        <family val="3"/>
        <charset val="128"/>
      </rPr>
      <t xml:space="preserve">
直近過去3年分の各年または各事業年度の課税所得の年平均額が15億円を超えている。</t>
    </r>
    <phoneticPr fontId="1"/>
  </si>
  <si>
    <t>※ 参画事業者の要件を満たさない事業者も記入すること</t>
    <rPh sb="2" eb="6">
      <t>サンカクジギョウ</t>
    </rPh>
    <rPh sb="6" eb="7">
      <t>シャ</t>
    </rPh>
    <rPh sb="8" eb="10">
      <t>ヨウケン</t>
    </rPh>
    <rPh sb="11" eb="12">
      <t>ミ</t>
    </rPh>
    <phoneticPr fontId="1"/>
  </si>
  <si>
    <t>※ 複数の取組に重複して参画する事業者は複数の取組(B～D列)で「✓」を選択すること</t>
    <rPh sb="2" eb="4">
      <t>フクスウ</t>
    </rPh>
    <rPh sb="5" eb="7">
      <t>トリクミ</t>
    </rPh>
    <rPh sb="8" eb="10">
      <t>チョウフク</t>
    </rPh>
    <rPh sb="12" eb="14">
      <t>サンカク</t>
    </rPh>
    <rPh sb="16" eb="19">
      <t>ジギョウシャ</t>
    </rPh>
    <rPh sb="20" eb="22">
      <t>フクスウ</t>
    </rPh>
    <rPh sb="23" eb="25">
      <t>トリクミ</t>
    </rPh>
    <rPh sb="29" eb="30">
      <t>レツ</t>
    </rPh>
    <rPh sb="36" eb="38">
      <t>センタク</t>
    </rPh>
    <phoneticPr fontId="1"/>
  </si>
  <si>
    <t>番号</t>
    <rPh sb="0" eb="2">
      <t>バンゴウ</t>
    </rPh>
    <phoneticPr fontId="1"/>
  </si>
  <si>
    <t>事業者名
※略称不可</t>
    <rPh sb="0" eb="4">
      <t>ジギョウシャメイ</t>
    </rPh>
    <rPh sb="6" eb="8">
      <t>リャクショウ</t>
    </rPh>
    <rPh sb="8" eb="10">
      <t>フカ</t>
    </rPh>
    <phoneticPr fontId="1"/>
  </si>
  <si>
    <t>法人番号</t>
    <rPh sb="0" eb="4">
      <t>ホウジンバンゴウ</t>
    </rPh>
    <phoneticPr fontId="1"/>
  </si>
  <si>
    <t>業種</t>
    <rPh sb="0" eb="2">
      <t>ギョウシュ</t>
    </rPh>
    <phoneticPr fontId="1"/>
  </si>
  <si>
    <t>資本金
（円）</t>
    <rPh sb="0" eb="3">
      <t>シホンキン</t>
    </rPh>
    <rPh sb="5" eb="6">
      <t>エン</t>
    </rPh>
    <phoneticPr fontId="1"/>
  </si>
  <si>
    <t>従業員数
（人）</t>
    <rPh sb="6" eb="7">
      <t>ニン</t>
    </rPh>
    <phoneticPr fontId="3"/>
  </si>
  <si>
    <t>売上高
（円）</t>
    <rPh sb="0" eb="3">
      <t>ウリアゲダカ</t>
    </rPh>
    <rPh sb="5" eb="6">
      <t>エン</t>
    </rPh>
    <phoneticPr fontId="1"/>
  </si>
  <si>
    <t>参画事業者の要件</t>
    <rPh sb="0" eb="5">
      <t>サンカクジギョウシャ</t>
    </rPh>
    <rPh sb="6" eb="8">
      <t>ヨウケン</t>
    </rPh>
    <phoneticPr fontId="1"/>
  </si>
  <si>
    <t>展</t>
    <rPh sb="0" eb="1">
      <t>テン</t>
    </rPh>
    <phoneticPr fontId="1"/>
  </si>
  <si>
    <t>催</t>
    <phoneticPr fontId="1"/>
  </si>
  <si>
    <t>小規模事業者判定</t>
    <phoneticPr fontId="1"/>
  </si>
  <si>
    <t>商業・サービス業（宿泊業・娯楽業除く）</t>
    <rPh sb="0" eb="2">
      <t>ショウギョウ</t>
    </rPh>
    <rPh sb="7" eb="8">
      <t>ギョウ</t>
    </rPh>
    <rPh sb="9" eb="11">
      <t>シュクハク</t>
    </rPh>
    <rPh sb="11" eb="12">
      <t>ギョウ</t>
    </rPh>
    <rPh sb="13" eb="16">
      <t>ゴラクギョウ</t>
    </rPh>
    <rPh sb="16" eb="17">
      <t>ノゾ</t>
    </rPh>
    <phoneticPr fontId="1"/>
  </si>
  <si>
    <t>小規模事業者</t>
    <rPh sb="0" eb="6">
      <t>ショウキボジギョウシャ</t>
    </rPh>
    <phoneticPr fontId="1"/>
  </si>
  <si>
    <t>業種</t>
    <phoneticPr fontId="1"/>
  </si>
  <si>
    <t>常時使用する従業員の数※</t>
  </si>
  <si>
    <t>①</t>
    <phoneticPr fontId="1"/>
  </si>
  <si>
    <t>５人以下</t>
    <phoneticPr fontId="1"/>
  </si>
  <si>
    <t>②</t>
    <phoneticPr fontId="1"/>
  </si>
  <si>
    <t>サービス業のうち宿泊業・娯楽業</t>
    <phoneticPr fontId="1"/>
  </si>
  <si>
    <t>２０人以下</t>
  </si>
  <si>
    <t>③</t>
    <phoneticPr fontId="1"/>
  </si>
  <si>
    <t>製造業その他</t>
    <phoneticPr fontId="1"/>
  </si>
  <si>
    <t>２０人以下</t>
    <phoneticPr fontId="1"/>
  </si>
  <si>
    <t>参画事業者一覧　</t>
    <phoneticPr fontId="1"/>
  </si>
  <si>
    <t>（様式2-2 ）参画事業者一覧　別添</t>
    <rPh sb="1" eb="3">
      <t>ヨウシキ</t>
    </rPh>
    <rPh sb="8" eb="10">
      <t>サンカク</t>
    </rPh>
    <rPh sb="10" eb="13">
      <t>ジギョウシャ</t>
    </rPh>
    <rPh sb="13" eb="15">
      <t>イチラン</t>
    </rPh>
    <rPh sb="16" eb="18">
      <t>ベッテン</t>
    </rPh>
    <phoneticPr fontId="1"/>
  </si>
  <si>
    <t>※「申請者との関係」には、これまでの申請者との関係や、申請者が実施する補助事業に参画するに至った経緯を記載する。</t>
    <rPh sb="2" eb="5">
      <t>シンセイシャ</t>
    </rPh>
    <rPh sb="7" eb="9">
      <t>カンケイ</t>
    </rPh>
    <rPh sb="27" eb="30">
      <t>シンセイシャ</t>
    </rPh>
    <rPh sb="31" eb="33">
      <t>ジッシ</t>
    </rPh>
    <rPh sb="35" eb="37">
      <t>ホジョ</t>
    </rPh>
    <rPh sb="37" eb="39">
      <t>ジギョウ</t>
    </rPh>
    <rPh sb="40" eb="42">
      <t>サンカク</t>
    </rPh>
    <rPh sb="45" eb="46">
      <t>イタ</t>
    </rPh>
    <rPh sb="48" eb="50">
      <t>ケイイ</t>
    </rPh>
    <rPh sb="51" eb="53">
      <t>キサイ</t>
    </rPh>
    <phoneticPr fontId="1"/>
  </si>
  <si>
    <t>※「参画する理由・目標」には、補助事業に参画する理由や補助事業での目標を記載する。</t>
    <rPh sb="15" eb="17">
      <t>ホジョ</t>
    </rPh>
    <rPh sb="17" eb="19">
      <t>ジギョウ</t>
    </rPh>
    <rPh sb="20" eb="22">
      <t>サンカク</t>
    </rPh>
    <rPh sb="24" eb="26">
      <t>リユウ</t>
    </rPh>
    <rPh sb="27" eb="29">
      <t>ホジョ</t>
    </rPh>
    <rPh sb="29" eb="31">
      <t>ジギョウ</t>
    </rPh>
    <rPh sb="33" eb="35">
      <t>モクヒョウ</t>
    </rPh>
    <rPh sb="36" eb="38">
      <t>キサイ</t>
    </rPh>
    <phoneticPr fontId="1"/>
  </si>
  <si>
    <t>申請者との関係</t>
    <phoneticPr fontId="1"/>
  </si>
  <si>
    <t>参画する理由・目標</t>
    <rPh sb="0" eb="2">
      <t>サンカク</t>
    </rPh>
    <rPh sb="4" eb="6">
      <t>リユウ</t>
    </rPh>
    <rPh sb="7" eb="9">
      <t>モクヒョウ</t>
    </rPh>
    <phoneticPr fontId="1"/>
  </si>
  <si>
    <t>補助事業で取り扱う
商材・サービス等</t>
    <phoneticPr fontId="1"/>
  </si>
  <si>
    <t>代表者氏名</t>
    <rPh sb="0" eb="3">
      <t>ダイヒョウシャ</t>
    </rPh>
    <rPh sb="3" eb="5">
      <t>シメイ</t>
    </rPh>
    <rPh sb="4" eb="5">
      <t>メイ</t>
    </rPh>
    <phoneticPr fontId="1"/>
  </si>
  <si>
    <t>本社所在地
（個人事業主は事業所の所在地）</t>
    <rPh sb="0" eb="2">
      <t>ホンシャ</t>
    </rPh>
    <rPh sb="2" eb="5">
      <t>ショザイチ</t>
    </rPh>
    <rPh sb="7" eb="9">
      <t>コジン</t>
    </rPh>
    <rPh sb="9" eb="12">
      <t>ジギョウヌシ</t>
    </rPh>
    <phoneticPr fontId="1"/>
  </si>
  <si>
    <t>参画事業者比率</t>
    <rPh sb="0" eb="2">
      <t>サンカク</t>
    </rPh>
    <rPh sb="2" eb="5">
      <t>ジギョウシャ</t>
    </rPh>
    <rPh sb="5" eb="7">
      <t>ヒリツ</t>
    </rPh>
    <phoneticPr fontId="1"/>
  </si>
  <si>
    <t>代表者電話番号</t>
    <rPh sb="2" eb="3">
      <t>シャ</t>
    </rPh>
    <rPh sb="3" eb="5">
      <t>デンワ</t>
    </rPh>
    <rPh sb="5" eb="7">
      <t>バンゴウ</t>
    </rPh>
    <phoneticPr fontId="1"/>
  </si>
  <si>
    <r>
      <rPr>
        <b/>
        <sz val="9"/>
        <color theme="1"/>
        <rFont val="Meiryo UI"/>
        <family val="3"/>
        <charset val="128"/>
      </rPr>
      <t>①法人の参画事業者が対象</t>
    </r>
    <r>
      <rPr>
        <sz val="9"/>
        <color theme="1"/>
        <rFont val="Meiryo UI"/>
        <family val="3"/>
        <charset val="128"/>
      </rPr>
      <t xml:space="preserve">
資本金または出資金が5億円以上の法人に直接または間接に100％の株式を保有されている。</t>
    </r>
    <phoneticPr fontId="1"/>
  </si>
  <si>
    <r>
      <rPr>
        <b/>
        <sz val="9"/>
        <color theme="1"/>
        <rFont val="Meiryo UI"/>
        <family val="3"/>
        <charset val="128"/>
      </rPr>
      <t>③法人の参画事業者が対象</t>
    </r>
    <r>
      <rPr>
        <sz val="9"/>
        <color theme="1"/>
        <rFont val="Meiryo UI"/>
        <family val="3"/>
        <charset val="128"/>
      </rPr>
      <t xml:space="preserve">
申請者と子会社等の資本関係を有している。</t>
    </r>
    <rPh sb="4" eb="6">
      <t>サンカク</t>
    </rPh>
    <phoneticPr fontId="1"/>
  </si>
  <si>
    <r>
      <rPr>
        <b/>
        <sz val="9"/>
        <color theme="1"/>
        <rFont val="Meiryo UI"/>
        <family val="3"/>
        <charset val="128"/>
      </rPr>
      <t>④法人の参画事業者が対象</t>
    </r>
    <r>
      <rPr>
        <sz val="9"/>
        <color theme="1"/>
        <rFont val="Meiryo UI"/>
        <family val="3"/>
        <charset val="128"/>
      </rPr>
      <t xml:space="preserve">
申請者が会社及び会社に準ずる営利法人であって、申請者の役員が参画事業者の役員を兼任している。</t>
    </r>
    <rPh sb="4" eb="6">
      <t>サンカク</t>
    </rPh>
    <phoneticPr fontId="1"/>
  </si>
  <si>
    <r>
      <rPr>
        <b/>
        <sz val="9"/>
        <color theme="1"/>
        <rFont val="Meiryo UI"/>
        <family val="3"/>
        <charset val="128"/>
      </rPr>
      <t>⑤全参画事業者が対象</t>
    </r>
    <r>
      <rPr>
        <sz val="9"/>
        <color theme="1"/>
        <rFont val="Meiryo UI"/>
        <family val="3"/>
        <charset val="128"/>
      </rPr>
      <t xml:space="preserve">
一つの申請回で、複数の補助事業に参画している。</t>
    </r>
    <phoneticPr fontId="1"/>
  </si>
  <si>
    <t>第３回公募　小規模事業者持続化補助金＜共同・協業型＞</t>
  </si>
  <si>
    <t>※業種は公募要領「別添3：小規模事業者について」を参照。</t>
    <phoneticPr fontId="1"/>
  </si>
  <si>
    <t>※次の①～⑦のいずれかに該当する事業者は、小規模事業者であっても参画事業者とはなりえないため、該当事業者の要件（AM列）を「-」に上書すること。</t>
    <rPh sb="1" eb="2">
      <t>ツギ</t>
    </rPh>
    <rPh sb="21" eb="24">
      <t>ショウキボ</t>
    </rPh>
    <rPh sb="24" eb="26">
      <t>ジギョウ</t>
    </rPh>
    <rPh sb="26" eb="27">
      <t>シャ</t>
    </rPh>
    <rPh sb="32" eb="34">
      <t>サンカク</t>
    </rPh>
    <rPh sb="47" eb="49">
      <t>ガイトウ</t>
    </rPh>
    <rPh sb="49" eb="52">
      <t>ジギョウシャ</t>
    </rPh>
    <rPh sb="53" eb="55">
      <t>ヨウケン</t>
    </rPh>
    <rPh sb="58" eb="59">
      <t>レツ</t>
    </rPh>
    <rPh sb="65" eb="67">
      <t>ウワガ</t>
    </rPh>
    <phoneticPr fontId="1"/>
  </si>
  <si>
    <r>
      <rPr>
        <b/>
        <sz val="9"/>
        <color theme="1"/>
        <rFont val="Meiryo UI"/>
        <family val="3"/>
        <charset val="128"/>
      </rPr>
      <t>⑥全参画事業者が対象</t>
    </r>
    <r>
      <rPr>
        <sz val="9"/>
        <color theme="1"/>
        <rFont val="Meiryo UI"/>
        <family val="3"/>
        <charset val="128"/>
      </rPr>
      <t xml:space="preserve">
</t>
    </r>
    <r>
      <rPr>
        <sz val="8"/>
        <color theme="1"/>
        <rFont val="Meiryo UI"/>
        <family val="3"/>
        <charset val="128"/>
      </rPr>
      <t>公募要領：参画事業者（小規模事業者）の定義における参画事業者の範囲の参画事業者とならない者に該当している。</t>
    </r>
    <rPh sb="1" eb="2">
      <t>ゼン</t>
    </rPh>
    <rPh sb="11" eb="15">
      <t>コウボヨウリョウ</t>
    </rPh>
    <rPh sb="57" eb="59">
      <t>ガイトウ</t>
    </rPh>
    <phoneticPr fontId="1"/>
  </si>
  <si>
    <t>販売拠点構築の取組に参加する全ての事業者数</t>
    <phoneticPr fontId="1"/>
  </si>
  <si>
    <t>※ 取組は右記のとおりに略す：展示会・商談会の取組→展、催事販売の取組→催、販売拠点構築の取組→販</t>
    <rPh sb="2" eb="4">
      <t>トリクミ</t>
    </rPh>
    <rPh sb="5" eb="7">
      <t>ウキ</t>
    </rPh>
    <phoneticPr fontId="19"/>
  </si>
  <si>
    <t>販</t>
    <phoneticPr fontId="1"/>
  </si>
  <si>
    <r>
      <t>取組　</t>
    </r>
    <r>
      <rPr>
        <b/>
        <sz val="8"/>
        <color theme="4"/>
        <rFont val="Meiryo UI"/>
        <family val="3"/>
        <charset val="128"/>
      </rPr>
      <t>※</t>
    </r>
    <rPh sb="0" eb="2">
      <t>トリクミ</t>
    </rPh>
    <phoneticPr fontId="1"/>
  </si>
  <si>
    <r>
      <rPr>
        <b/>
        <sz val="9"/>
        <color theme="1"/>
        <rFont val="Meiryo UI"/>
        <family val="3"/>
        <charset val="128"/>
      </rPr>
      <t>⑦全参画事業者が対象</t>
    </r>
    <r>
      <rPr>
        <sz val="9"/>
        <color theme="1"/>
        <rFont val="Meiryo UI"/>
        <family val="3"/>
        <charset val="128"/>
      </rPr>
      <t xml:space="preserve">
第３回公募申請時点で実施中の小規模事業者持続化補助金 ＜共同・協業型＞にかかる補助事業に参画している。</t>
    </r>
    <rPh sb="1" eb="2">
      <t>ゼン</t>
    </rPh>
    <rPh sb="11" eb="12">
      <t>ダイ</t>
    </rPh>
    <rPh sb="13" eb="14">
      <t>カイ</t>
    </rPh>
    <rPh sb="14" eb="16">
      <t>コウボ</t>
    </rPh>
    <rPh sb="16" eb="18">
      <t>シンセイ</t>
    </rPh>
    <rPh sb="18" eb="20">
      <t>ジテン</t>
    </rPh>
    <rPh sb="21" eb="24">
      <t>ジッシチュウ</t>
    </rPh>
    <rPh sb="25" eb="28">
      <t>ショウキボ</t>
    </rPh>
    <rPh sb="28" eb="31">
      <t>ジギョウシャ</t>
    </rPh>
    <rPh sb="31" eb="33">
      <t>ジゾク</t>
    </rPh>
    <rPh sb="33" eb="34">
      <t>カ</t>
    </rPh>
    <rPh sb="34" eb="37">
      <t>ホジョキン</t>
    </rPh>
    <rPh sb="39" eb="41">
      <t>キョウドウ</t>
    </rPh>
    <rPh sb="42" eb="44">
      <t>キョウギョウ</t>
    </rPh>
    <rPh sb="44" eb="45">
      <t>ガタ</t>
    </rPh>
    <rPh sb="50" eb="52">
      <t>ホジョ</t>
    </rPh>
    <rPh sb="52" eb="54">
      <t>ジギョウ</t>
    </rPh>
    <rPh sb="55" eb="57">
      <t>サンカク</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</si>
</sst>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_ "/>
    <numFmt numFmtId="177" formatCode="#,##0_);[Red]\(#,##0\)"/>
    <numFmt numFmtId="178" formatCode="#,##0_ ;[Red]\-#,##0\ "/>
  </numFmts>
  <fonts count="28">
    <font>
      <sz val="11"/>
      <color theme="1"/>
      <name val="游ゴシック"/>
      <family val="2"/>
      <charset val="128"/>
      <scheme val="minor"/>
    </font>
    <font>
      <sz val="6"/>
      <name val="游ゴシック"/>
      <family val="2"/>
      <charset val="128"/>
      <scheme val="minor"/>
    </font>
    <font>
      <sz val="11"/>
      <color theme="1"/>
      <name val="游ゴシック"/>
      <family val="2"/>
      <charset val="128"/>
      <scheme val="minor"/>
    </font>
    <font>
      <sz val="10"/>
      <color rgb="FF000000"/>
      <name val="ＭＳ 明朝"/>
      <family val="1"/>
      <charset val="128"/>
    </font>
    <font>
      <b/>
      <sz val="9"/>
      <color indexed="81"/>
      <name val="MS P ゴシック"/>
      <family val="3"/>
      <charset val="128"/>
    </font>
    <font>
      <b/>
      <sz val="12"/>
      <color theme="1"/>
      <name val="Meiryo UI"/>
      <family val="3"/>
      <charset val="128"/>
    </font>
    <font>
      <b/>
      <sz val="11"/>
      <color theme="1"/>
      <name val="Meiryo UI"/>
      <family val="3"/>
      <charset val="128"/>
    </font>
    <font>
      <sz val="11"/>
      <color theme="1"/>
      <name val="Meiryo UI"/>
      <family val="3"/>
      <charset val="128"/>
    </font>
    <font>
      <sz val="8"/>
      <color rgb="FFFF0000"/>
      <name val="Meiryo UI"/>
      <family val="3"/>
      <charset val="128"/>
    </font>
    <font>
      <sz val="10"/>
      <color theme="1"/>
      <name val="Meiryo UI"/>
      <family val="3"/>
      <charset val="128"/>
    </font>
    <font>
      <sz val="8"/>
      <color theme="1"/>
      <name val="Meiryo UI"/>
      <family val="3"/>
      <charset val="128"/>
    </font>
    <font>
      <sz val="11"/>
      <color rgb="FFFF0000"/>
      <name val="Meiryo UI"/>
      <family val="3"/>
      <charset val="128"/>
    </font>
    <font>
      <b/>
      <sz val="12"/>
      <color rgb="FFFF0000"/>
      <name val="Meiryo UI"/>
      <family val="3"/>
      <charset val="128"/>
    </font>
    <font>
      <sz val="11"/>
      <color rgb="FF000000"/>
      <name val="Meiryo UI"/>
      <family val="3"/>
      <charset val="128"/>
    </font>
    <font>
      <sz val="10"/>
      <name val="Meiryo UI"/>
      <family val="3"/>
      <charset val="128"/>
    </font>
    <font>
      <sz val="11"/>
      <name val="Meiryo UI"/>
      <family val="3"/>
      <charset val="128"/>
    </font>
    <font>
      <sz val="9"/>
      <color theme="1"/>
      <name val="Meiryo UI"/>
      <family val="3"/>
      <charset val="128"/>
    </font>
    <font>
      <b/>
      <sz val="10"/>
      <color rgb="FFFF0000"/>
      <name val="Meiryo UI"/>
      <family val="3"/>
      <charset val="128"/>
    </font>
    <font>
      <sz val="8"/>
      <color rgb="FF0000FF"/>
      <name val="Meiryo UI"/>
      <family val="3"/>
      <charset val="128"/>
    </font>
    <font>
      <sz val="6"/>
      <name val="Meiryo UI"/>
      <family val="3"/>
      <charset val="128"/>
    </font>
    <font>
      <sz val="10"/>
      <color rgb="FF0000FF"/>
      <name val="Meiryo UI"/>
      <family val="3"/>
      <charset val="128"/>
    </font>
    <font>
      <b/>
      <sz val="9"/>
      <color theme="1"/>
      <name val="Meiryo UI"/>
      <family val="3"/>
      <charset val="128"/>
    </font>
    <font>
      <b/>
      <sz val="9"/>
      <color indexed="81"/>
      <name val="Meiryo UI"/>
      <family val="3"/>
      <charset val="128"/>
    </font>
    <font>
      <sz val="9"/>
      <color indexed="81"/>
      <name val="Meiryo UI"/>
      <family val="3"/>
      <charset val="128"/>
    </font>
    <font>
      <sz val="9"/>
      <color indexed="81"/>
      <name val="MS P ゴシック"/>
      <family val="3"/>
      <charset val="128"/>
    </font>
    <font>
      <b/>
      <sz val="11"/>
      <color theme="0"/>
      <name val="Meiryo UI"/>
      <family val="3"/>
      <charset val="128"/>
    </font>
    <font>
      <b/>
      <sz val="8"/>
      <color theme="0"/>
      <name val="Meiryo UI"/>
      <family val="3"/>
      <charset val="128"/>
    </font>
    <font>
      <b/>
      <sz val="8"/>
      <color theme="4"/>
      <name val="Meiryo UI"/>
      <family val="3"/>
      <charset val="128"/>
    </font>
  </fonts>
  <fills count="6">
    <fill>
      <patternFill patternType="none"/>
    </fill>
    <fill>
      <patternFill patternType="gray125"/>
    </fill>
    <fill>
      <patternFill patternType="solid">
        <fgColor theme="0" tint="-4.9989318521683403E-2"/>
        <bgColor indexed="64"/>
      </patternFill>
    </fill>
    <fill>
      <patternFill patternType="solid">
        <fgColor rgb="FF15D348"/>
        <bgColor indexed="64"/>
      </patternFill>
    </fill>
    <fill>
      <patternFill patternType="solid">
        <fgColor theme="2"/>
        <bgColor indexed="64"/>
      </patternFill>
    </fill>
    <fill>
      <patternFill patternType="solid">
        <fgColor rgb="FFFFFFCC"/>
        <bgColor indexed="64"/>
      </patternFill>
    </fill>
  </fills>
  <borders count="1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diagonal/>
    </border>
    <border>
      <left/>
      <right style="thin">
        <color auto="1"/>
      </right>
      <top style="thin">
        <color auto="1"/>
      </top>
      <bottom/>
      <diagonal/>
    </border>
    <border>
      <left style="dotted">
        <color auto="1"/>
      </left>
      <right/>
      <top style="thin">
        <color auto="1"/>
      </top>
      <bottom/>
      <diagonal/>
    </border>
    <border>
      <left style="dotted">
        <color auto="1"/>
      </left>
      <right/>
      <top style="thin">
        <color auto="1"/>
      </top>
      <bottom style="thin">
        <color auto="1"/>
      </bottom>
      <diagonal/>
    </border>
  </borders>
  <cellStyleXfs count="2">
    <xf numFmtId="0" fontId="0" fillId="0" borderId="0">
      <alignment vertical="center"/>
    </xf>
    <xf numFmtId="38" fontId="2" fillId="0" borderId="0" applyFont="0" applyFill="0" applyBorder="0" applyAlignment="0" applyProtection="0">
      <alignment vertical="center"/>
    </xf>
  </cellStyleXfs>
  <cellXfs count="120">
    <xf numFmtId="0" fontId="0" fillId="0" borderId="0" xfId="0">
      <alignment vertical="center"/>
    </xf>
    <xf numFmtId="0" fontId="5" fillId="0" borderId="0" xfId="0" applyFont="1">
      <alignment vertical="center"/>
    </xf>
    <xf numFmtId="0" fontId="6" fillId="0" borderId="0" xfId="0" applyFont="1">
      <alignment vertical="center"/>
    </xf>
    <xf numFmtId="0" fontId="7" fillId="0" borderId="0" xfId="0" applyFont="1">
      <alignment vertical="center"/>
    </xf>
    <xf numFmtId="0" fontId="7" fillId="0" borderId="0" xfId="0" applyFont="1" applyAlignment="1">
      <alignment horizontal="right" vertical="center"/>
    </xf>
    <xf numFmtId="0" fontId="7" fillId="0" borderId="0" xfId="0" applyFont="1" applyAlignment="1">
      <alignment vertical="center" shrinkToFit="1"/>
    </xf>
    <xf numFmtId="0" fontId="7" fillId="0" borderId="0" xfId="0" applyFont="1" applyAlignment="1">
      <alignment horizontal="left" vertical="center" shrinkToFit="1"/>
    </xf>
    <xf numFmtId="0" fontId="7" fillId="0" borderId="0" xfId="0" applyFont="1" applyAlignment="1">
      <alignment horizontal="left" vertical="center"/>
    </xf>
    <xf numFmtId="0" fontId="9" fillId="0" borderId="0" xfId="0" applyFont="1" applyAlignment="1">
      <alignment horizontal="center" vertical="center"/>
    </xf>
    <xf numFmtId="0" fontId="9" fillId="0" borderId="0" xfId="0" applyFont="1" applyAlignment="1">
      <alignment horizontal="left" vertical="center"/>
    </xf>
    <xf numFmtId="176" fontId="7" fillId="0" borderId="0" xfId="0" applyNumberFormat="1" applyFont="1" applyAlignment="1">
      <alignment horizontal="center" vertical="center" shrinkToFit="1"/>
    </xf>
    <xf numFmtId="0" fontId="10" fillId="0" borderId="0" xfId="0" applyFont="1" applyAlignment="1">
      <alignment horizontal="left"/>
    </xf>
    <xf numFmtId="0" fontId="9" fillId="0" borderId="0" xfId="0" applyFont="1">
      <alignment vertical="center"/>
    </xf>
    <xf numFmtId="176" fontId="7" fillId="0" borderId="0" xfId="0" applyNumberFormat="1" applyFont="1">
      <alignment vertical="center"/>
    </xf>
    <xf numFmtId="176" fontId="7" fillId="0" borderId="0" xfId="0" applyNumberFormat="1" applyFont="1" applyAlignment="1">
      <alignment vertical="center" shrinkToFit="1"/>
    </xf>
    <xf numFmtId="0" fontId="7" fillId="0" borderId="0" xfId="0" applyFont="1" applyAlignment="1" applyProtection="1">
      <alignment horizontal="center" vertical="center" shrinkToFit="1"/>
      <protection locked="0"/>
    </xf>
    <xf numFmtId="0" fontId="7" fillId="0" borderId="0" xfId="0" applyFont="1" applyAlignment="1">
      <alignment horizontal="center" vertical="center" shrinkToFit="1"/>
    </xf>
    <xf numFmtId="0" fontId="7" fillId="0" borderId="9" xfId="0" applyFont="1" applyBorder="1" applyAlignment="1">
      <alignment horizontal="left" vertical="center" shrinkToFit="1"/>
    </xf>
    <xf numFmtId="0" fontId="10" fillId="0" borderId="0" xfId="0" applyFont="1" applyAlignment="1">
      <alignment horizontal="center" vertical="center" shrinkToFit="1"/>
    </xf>
    <xf numFmtId="0" fontId="13" fillId="0" borderId="0" xfId="0" applyFont="1" applyAlignment="1">
      <alignment horizontal="left" vertical="center" shrinkToFit="1"/>
    </xf>
    <xf numFmtId="0" fontId="7" fillId="0" borderId="0" xfId="0" applyFont="1" applyAlignment="1">
      <alignment vertical="center" wrapText="1"/>
    </xf>
    <xf numFmtId="0" fontId="7" fillId="0" borderId="1" xfId="0" applyFont="1" applyBorder="1" applyAlignment="1">
      <alignment horizontal="center" vertical="center" shrinkToFit="1"/>
    </xf>
    <xf numFmtId="0" fontId="7" fillId="0" borderId="1" xfId="0" applyFont="1" applyBorder="1" applyAlignment="1" applyProtection="1">
      <alignment horizontal="center" vertical="center" shrinkToFit="1"/>
      <protection locked="0"/>
    </xf>
    <xf numFmtId="176" fontId="7" fillId="0" borderId="0" xfId="0" applyNumberFormat="1" applyFont="1" applyAlignment="1" applyProtection="1">
      <alignment horizontal="center" vertical="center" shrinkToFit="1"/>
      <protection locked="0"/>
    </xf>
    <xf numFmtId="176" fontId="7" fillId="0" borderId="0" xfId="0" applyNumberFormat="1" applyFont="1" applyAlignment="1">
      <alignment horizontal="center" vertical="center" wrapText="1"/>
    </xf>
    <xf numFmtId="176" fontId="7" fillId="0" borderId="0" xfId="0" applyNumberFormat="1" applyFont="1" applyAlignment="1">
      <alignment horizontal="left" vertical="center" shrinkToFit="1"/>
    </xf>
    <xf numFmtId="0" fontId="7" fillId="0" borderId="2" xfId="0" applyFont="1" applyBorder="1" applyAlignment="1">
      <alignment horizontal="left" vertical="center" shrinkToFit="1"/>
    </xf>
    <xf numFmtId="0" fontId="13" fillId="0" borderId="4" xfId="0" applyFont="1" applyBorder="1" applyAlignment="1">
      <alignment horizontal="left" vertical="center" shrinkToFit="1"/>
    </xf>
    <xf numFmtId="0" fontId="13" fillId="0" borderId="3" xfId="0" applyFont="1" applyBorder="1" applyAlignment="1">
      <alignment horizontal="left" vertical="center" shrinkToFit="1"/>
    </xf>
    <xf numFmtId="0" fontId="7" fillId="0" borderId="11" xfId="0" applyFont="1" applyBorder="1" applyAlignment="1">
      <alignment horizontal="left" vertical="center" shrinkToFit="1"/>
    </xf>
    <xf numFmtId="0" fontId="13" fillId="0" borderId="5" xfId="0" applyFont="1" applyBorder="1" applyAlignment="1">
      <alignment horizontal="left" vertical="center"/>
    </xf>
    <xf numFmtId="0" fontId="13" fillId="0" borderId="5" xfId="0" applyFont="1" applyBorder="1" applyAlignment="1">
      <alignment horizontal="left" vertical="center" shrinkToFit="1"/>
    </xf>
    <xf numFmtId="0" fontId="13" fillId="0" borderId="12" xfId="0" applyFont="1" applyBorder="1" applyAlignment="1">
      <alignment horizontal="left" vertical="center" shrinkToFit="1"/>
    </xf>
    <xf numFmtId="0" fontId="7" fillId="0" borderId="6" xfId="0" applyFont="1" applyBorder="1" applyAlignment="1">
      <alignment horizontal="left" vertical="center" shrinkToFit="1"/>
    </xf>
    <xf numFmtId="0" fontId="13" fillId="0" borderId="7" xfId="0" applyFont="1" applyBorder="1" applyAlignment="1">
      <alignment horizontal="left" vertical="center" shrinkToFit="1"/>
    </xf>
    <xf numFmtId="0" fontId="7" fillId="0" borderId="8" xfId="0" applyFont="1" applyBorder="1" applyAlignment="1">
      <alignment horizontal="left" vertical="center" shrinkToFit="1"/>
    </xf>
    <xf numFmtId="0" fontId="7" fillId="0" borderId="9" xfId="0" applyFont="1" applyBorder="1" applyAlignment="1">
      <alignment horizontal="left" vertical="center"/>
    </xf>
    <xf numFmtId="0" fontId="13" fillId="0" borderId="10" xfId="0" applyFont="1" applyBorder="1" applyAlignment="1">
      <alignment horizontal="left" vertical="center" shrinkToFit="1"/>
    </xf>
    <xf numFmtId="0" fontId="7" fillId="0" borderId="0" xfId="0" applyFont="1" applyAlignment="1">
      <alignment vertical="center" wrapText="1" shrinkToFit="1"/>
    </xf>
    <xf numFmtId="0" fontId="7" fillId="0" borderId="0" xfId="0" applyFont="1" applyAlignment="1" applyProtection="1">
      <alignment vertical="center" shrinkToFit="1"/>
      <protection locked="0"/>
    </xf>
    <xf numFmtId="0" fontId="7" fillId="0" borderId="0" xfId="0" applyFont="1" applyAlignment="1">
      <alignment horizontal="center" vertical="center" wrapText="1"/>
    </xf>
    <xf numFmtId="0" fontId="7" fillId="0" borderId="0" xfId="0" applyFont="1" applyAlignment="1">
      <alignment horizontal="right" vertical="center" wrapText="1"/>
    </xf>
    <xf numFmtId="0" fontId="7" fillId="0" borderId="1" xfId="0" applyFont="1" applyBorder="1">
      <alignment vertical="center"/>
    </xf>
    <xf numFmtId="0" fontId="7" fillId="0" borderId="0" xfId="0" applyFont="1" applyAlignment="1">
      <alignment horizontal="center" vertical="center" wrapText="1" shrinkToFit="1"/>
    </xf>
    <xf numFmtId="0" fontId="14" fillId="0" borderId="0" xfId="0" applyFont="1">
      <alignment vertical="center"/>
    </xf>
    <xf numFmtId="0" fontId="15" fillId="0" borderId="0" xfId="0" applyFont="1">
      <alignment vertical="center"/>
    </xf>
    <xf numFmtId="0" fontId="7" fillId="2" borderId="0" xfId="0" applyFont="1" applyFill="1" applyAlignment="1">
      <alignment horizontal="center" vertical="center" shrinkToFit="1"/>
    </xf>
    <xf numFmtId="0" fontId="7" fillId="0" borderId="1" xfId="0" applyFont="1" applyBorder="1" applyAlignment="1">
      <alignment horizontal="center" vertical="center" wrapText="1" shrinkToFit="1"/>
    </xf>
    <xf numFmtId="0" fontId="16" fillId="0" borderId="2" xfId="0" applyFont="1" applyBorder="1" applyAlignment="1" applyProtection="1">
      <alignment horizontal="left" vertical="top" wrapText="1"/>
      <protection locked="0"/>
    </xf>
    <xf numFmtId="0" fontId="16" fillId="0" borderId="1" xfId="0" applyFont="1" applyBorder="1" applyAlignment="1" applyProtection="1">
      <alignment horizontal="left" vertical="top" wrapText="1"/>
      <protection locked="0"/>
    </xf>
    <xf numFmtId="176" fontId="7" fillId="0" borderId="0" xfId="0" applyNumberFormat="1" applyFont="1" applyAlignment="1">
      <alignment horizontal="left" vertical="center" wrapText="1"/>
    </xf>
    <xf numFmtId="176" fontId="7" fillId="0" borderId="0" xfId="0" applyNumberFormat="1" applyFont="1" applyAlignment="1">
      <alignment horizontal="left" vertical="center" wrapText="1" shrinkToFit="1"/>
    </xf>
    <xf numFmtId="0" fontId="10" fillId="0" borderId="0" xfId="0" applyFont="1" applyAlignment="1">
      <alignment horizontal="left" vertical="center"/>
    </xf>
    <xf numFmtId="0" fontId="9" fillId="0" borderId="5" xfId="0" applyFont="1" applyBorder="1" applyAlignment="1">
      <alignment horizontal="left" vertical="center" wrapText="1"/>
    </xf>
    <xf numFmtId="0" fontId="9" fillId="0" borderId="5" xfId="0" applyFont="1" applyBorder="1" applyAlignment="1" applyProtection="1">
      <alignment vertical="center" shrinkToFit="1"/>
      <protection locked="0"/>
    </xf>
    <xf numFmtId="0" fontId="9" fillId="0" borderId="5" xfId="0" applyFont="1" applyBorder="1" applyAlignment="1">
      <alignment horizontal="left" vertical="center" shrinkToFit="1"/>
    </xf>
    <xf numFmtId="0" fontId="9" fillId="0" borderId="5" xfId="0" applyFont="1" applyBorder="1" applyAlignment="1">
      <alignment horizontal="center" vertical="center" shrinkToFit="1"/>
    </xf>
    <xf numFmtId="0" fontId="9" fillId="0" borderId="0" xfId="0" applyFont="1" applyAlignment="1">
      <alignment vertical="center" shrinkToFit="1"/>
    </xf>
    <xf numFmtId="0" fontId="9" fillId="0" borderId="0" xfId="0" applyFont="1" applyAlignment="1">
      <alignment horizontal="center" vertical="center" shrinkToFit="1"/>
    </xf>
    <xf numFmtId="0" fontId="9" fillId="0" borderId="0" xfId="0" applyFont="1" applyAlignment="1">
      <alignment horizontal="left" vertical="center" shrinkToFit="1"/>
    </xf>
    <xf numFmtId="0" fontId="9" fillId="0" borderId="0" xfId="0" applyFont="1" applyAlignment="1" applyProtection="1">
      <alignment vertical="center" shrinkToFit="1"/>
      <protection locked="0"/>
    </xf>
    <xf numFmtId="0" fontId="8" fillId="0" borderId="0" xfId="0" applyFont="1" applyAlignment="1">
      <alignment horizontal="left" vertical="center" shrinkToFit="1"/>
    </xf>
    <xf numFmtId="10" fontId="8" fillId="0" borderId="0" xfId="0" applyNumberFormat="1" applyFont="1" applyAlignment="1">
      <alignment horizontal="left" vertical="center" shrinkToFit="1"/>
    </xf>
    <xf numFmtId="176" fontId="8" fillId="0" borderId="0" xfId="0" applyNumberFormat="1" applyFont="1" applyAlignment="1">
      <alignment horizontal="left" vertical="center" shrinkToFit="1"/>
    </xf>
    <xf numFmtId="0" fontId="18" fillId="0" borderId="0" xfId="0" applyFont="1" applyAlignment="1">
      <alignment horizontal="left" vertical="center" shrinkToFit="1"/>
    </xf>
    <xf numFmtId="10" fontId="18" fillId="0" borderId="0" xfId="0" applyNumberFormat="1" applyFont="1" applyAlignment="1">
      <alignment horizontal="left" vertical="center" shrinkToFit="1"/>
    </xf>
    <xf numFmtId="0" fontId="7" fillId="0" borderId="11" xfId="0" applyFont="1" applyBorder="1" applyAlignment="1" applyProtection="1">
      <alignment horizontal="center" vertical="center" shrinkToFit="1"/>
      <protection locked="0"/>
    </xf>
    <xf numFmtId="0" fontId="20" fillId="0" borderId="0" xfId="0" applyFont="1" applyAlignment="1">
      <alignment vertical="top"/>
    </xf>
    <xf numFmtId="0" fontId="17" fillId="0" borderId="0" xfId="0" applyFont="1" applyAlignment="1">
      <alignment vertical="top"/>
    </xf>
    <xf numFmtId="0" fontId="7" fillId="0" borderId="0" xfId="0" applyFont="1" applyAlignment="1">
      <alignment vertical="top"/>
    </xf>
    <xf numFmtId="0" fontId="12" fillId="0" borderId="0" xfId="0" applyFont="1" applyAlignment="1">
      <alignment horizontal="left" vertical="top" shrinkToFit="1"/>
    </xf>
    <xf numFmtId="0" fontId="9" fillId="0" borderId="0" xfId="0" applyFont="1" applyAlignment="1">
      <alignment horizontal="left"/>
    </xf>
    <xf numFmtId="0" fontId="9" fillId="0" borderId="0" xfId="0" applyFont="1" applyAlignment="1">
      <alignment horizontal="right" vertical="center"/>
    </xf>
    <xf numFmtId="0" fontId="26" fillId="3" borderId="1" xfId="0" applyFont="1" applyFill="1" applyBorder="1" applyAlignment="1">
      <alignment horizontal="center" vertical="center" textRotation="255" shrinkToFit="1"/>
    </xf>
    <xf numFmtId="0" fontId="25" fillId="3" borderId="1" xfId="0" applyFont="1" applyFill="1" applyBorder="1" applyAlignment="1">
      <alignment horizontal="center" vertical="center" shrinkToFit="1"/>
    </xf>
    <xf numFmtId="0" fontId="25" fillId="3" borderId="2" xfId="0" applyFont="1" applyFill="1" applyBorder="1" applyAlignment="1">
      <alignment horizontal="center" vertical="center" wrapText="1" shrinkToFit="1"/>
    </xf>
    <xf numFmtId="0" fontId="25" fillId="3" borderId="1" xfId="0" applyFont="1" applyFill="1" applyBorder="1" applyAlignment="1">
      <alignment horizontal="center" vertical="center" wrapText="1" shrinkToFit="1"/>
    </xf>
    <xf numFmtId="176" fontId="8" fillId="0" borderId="0" xfId="0" applyNumberFormat="1" applyFont="1">
      <alignment vertical="center"/>
    </xf>
    <xf numFmtId="0" fontId="17" fillId="0" borderId="5" xfId="0" applyFont="1" applyBorder="1" applyAlignment="1">
      <alignment horizontal="left" vertical="top" wrapText="1"/>
    </xf>
    <xf numFmtId="0" fontId="9" fillId="0" borderId="0" xfId="0" applyFont="1" applyAlignment="1">
      <alignment horizontal="center" vertical="center" shrinkToFit="1"/>
    </xf>
    <xf numFmtId="178" fontId="7" fillId="0" borderId="2" xfId="0" applyNumberFormat="1" applyFont="1" applyBorder="1" applyAlignment="1" applyProtection="1">
      <alignment horizontal="right" vertical="center" shrinkToFit="1"/>
      <protection locked="0"/>
    </xf>
    <xf numFmtId="178" fontId="7" fillId="0" borderId="3" xfId="0" applyNumberFormat="1" applyFont="1" applyBorder="1" applyAlignment="1" applyProtection="1">
      <alignment horizontal="right" vertical="center" shrinkToFit="1"/>
      <protection locked="0"/>
    </xf>
    <xf numFmtId="0" fontId="16" fillId="2" borderId="2" xfId="0" applyFont="1" applyFill="1" applyBorder="1" applyAlignment="1">
      <alignment horizontal="left" vertical="center" wrapText="1"/>
    </xf>
    <xf numFmtId="0" fontId="16" fillId="2" borderId="4" xfId="0" applyFont="1" applyFill="1" applyBorder="1" applyAlignment="1">
      <alignment horizontal="left" vertical="center" wrapText="1"/>
    </xf>
    <xf numFmtId="0" fontId="16" fillId="0" borderId="14" xfId="0" applyFont="1" applyBorder="1" applyAlignment="1">
      <alignment horizontal="left" vertical="center" shrinkToFit="1"/>
    </xf>
    <xf numFmtId="0" fontId="16" fillId="0" borderId="4" xfId="0" applyFont="1" applyBorder="1" applyAlignment="1">
      <alignment horizontal="left" vertical="center" shrinkToFit="1"/>
    </xf>
    <xf numFmtId="0" fontId="16" fillId="0" borderId="3" xfId="0" applyFont="1" applyBorder="1" applyAlignment="1">
      <alignment horizontal="left" vertical="center" shrinkToFit="1"/>
    </xf>
    <xf numFmtId="0" fontId="11" fillId="0" borderId="6" xfId="0" applyFont="1" applyBorder="1" applyAlignment="1">
      <alignment horizontal="center" vertical="center" shrinkToFit="1"/>
    </xf>
    <xf numFmtId="0" fontId="11" fillId="0" borderId="0" xfId="0" applyFont="1" applyAlignment="1">
      <alignment horizontal="center" vertical="center" shrinkToFit="1"/>
    </xf>
    <xf numFmtId="176" fontId="9" fillId="5" borderId="0" xfId="0" applyNumberFormat="1" applyFont="1" applyFill="1" applyAlignment="1">
      <alignment horizontal="right" vertical="center" shrinkToFit="1"/>
    </xf>
    <xf numFmtId="176" fontId="7" fillId="0" borderId="0" xfId="0" applyNumberFormat="1" applyFont="1" applyAlignment="1">
      <alignment horizontal="right" vertical="center" shrinkToFit="1"/>
    </xf>
    <xf numFmtId="0" fontId="9" fillId="4" borderId="6" xfId="0" applyFont="1" applyFill="1" applyBorder="1" applyAlignment="1">
      <alignment vertical="center" shrinkToFit="1"/>
    </xf>
    <xf numFmtId="0" fontId="9" fillId="4" borderId="0" xfId="0" applyFont="1" applyFill="1" applyAlignment="1">
      <alignment vertical="center" shrinkToFit="1"/>
    </xf>
    <xf numFmtId="0" fontId="9" fillId="4" borderId="0" xfId="0" applyFont="1" applyFill="1" applyAlignment="1">
      <alignment horizontal="center" vertical="center" shrinkToFit="1"/>
    </xf>
    <xf numFmtId="0" fontId="7" fillId="0" borderId="2" xfId="0" applyFont="1" applyBorder="1" applyAlignment="1" applyProtection="1">
      <alignment horizontal="left" vertical="center" shrinkToFit="1"/>
      <protection locked="0"/>
    </xf>
    <xf numFmtId="0" fontId="7" fillId="0" borderId="4" xfId="0" applyFont="1" applyBorder="1" applyAlignment="1" applyProtection="1">
      <alignment horizontal="left" vertical="center" shrinkToFit="1"/>
      <protection locked="0"/>
    </xf>
    <xf numFmtId="0" fontId="7" fillId="0" borderId="3" xfId="0" applyFont="1" applyBorder="1" applyAlignment="1" applyProtection="1">
      <alignment horizontal="left" vertical="center" shrinkToFit="1"/>
      <protection locked="0"/>
    </xf>
    <xf numFmtId="0" fontId="25" fillId="3" borderId="1" xfId="0" applyFont="1" applyFill="1" applyBorder="1" applyAlignment="1">
      <alignment horizontal="center" vertical="center"/>
    </xf>
    <xf numFmtId="0" fontId="7" fillId="0" borderId="1" xfId="0" applyFont="1" applyBorder="1" applyAlignment="1" applyProtection="1">
      <alignment horizontal="left" vertical="top"/>
      <protection locked="0"/>
    </xf>
    <xf numFmtId="49" fontId="7" fillId="0" borderId="2" xfId="0" applyNumberFormat="1" applyFont="1" applyBorder="1" applyAlignment="1" applyProtection="1">
      <alignment horizontal="left" vertical="center" shrinkToFit="1"/>
      <protection locked="0"/>
    </xf>
    <xf numFmtId="49" fontId="7" fillId="0" borderId="4" xfId="0" applyNumberFormat="1" applyFont="1" applyBorder="1" applyAlignment="1" applyProtection="1">
      <alignment horizontal="left" vertical="center" shrinkToFit="1"/>
      <protection locked="0"/>
    </xf>
    <xf numFmtId="49" fontId="7" fillId="0" borderId="3" xfId="0" applyNumberFormat="1" applyFont="1" applyBorder="1" applyAlignment="1" applyProtection="1">
      <alignment horizontal="left" vertical="center" shrinkToFit="1"/>
      <protection locked="0"/>
    </xf>
    <xf numFmtId="177" fontId="7" fillId="0" borderId="2" xfId="1" applyNumberFormat="1" applyFont="1" applyFill="1" applyBorder="1" applyAlignment="1" applyProtection="1">
      <alignment horizontal="left" vertical="center" shrinkToFit="1"/>
      <protection locked="0"/>
    </xf>
    <xf numFmtId="177" fontId="7" fillId="0" borderId="4" xfId="1" applyNumberFormat="1" applyFont="1" applyFill="1" applyBorder="1" applyAlignment="1" applyProtection="1">
      <alignment horizontal="left" vertical="center" shrinkToFit="1"/>
      <protection locked="0"/>
    </xf>
    <xf numFmtId="177" fontId="7" fillId="0" borderId="3" xfId="1" applyNumberFormat="1" applyFont="1" applyFill="1" applyBorder="1" applyAlignment="1" applyProtection="1">
      <alignment horizontal="left" vertical="center" shrinkToFit="1"/>
      <protection locked="0"/>
    </xf>
    <xf numFmtId="0" fontId="7" fillId="0" borderId="1" xfId="0" applyFont="1" applyBorder="1" applyAlignment="1" applyProtection="1">
      <alignment horizontal="left" vertical="center" shrinkToFit="1"/>
      <protection locked="0"/>
    </xf>
    <xf numFmtId="49" fontId="7" fillId="0" borderId="1" xfId="0" applyNumberFormat="1" applyFont="1" applyBorder="1" applyAlignment="1" applyProtection="1">
      <alignment horizontal="left" vertical="center" shrinkToFit="1"/>
      <protection locked="0"/>
    </xf>
    <xf numFmtId="0" fontId="26" fillId="3" borderId="1" xfId="0" applyFont="1" applyFill="1" applyBorder="1" applyAlignment="1">
      <alignment horizontal="center" vertical="center" shrinkToFit="1"/>
    </xf>
    <xf numFmtId="0" fontId="26" fillId="3" borderId="1" xfId="0" applyFont="1" applyFill="1" applyBorder="1" applyAlignment="1">
      <alignment horizontal="center" vertical="center" wrapText="1" shrinkToFit="1"/>
    </xf>
    <xf numFmtId="0" fontId="16" fillId="0" borderId="13" xfId="0" applyFont="1" applyBorder="1" applyAlignment="1">
      <alignment horizontal="left" vertical="center" shrinkToFit="1"/>
    </xf>
    <xf numFmtId="0" fontId="16" fillId="0" borderId="5" xfId="0" applyFont="1" applyBorder="1" applyAlignment="1">
      <alignment horizontal="left" vertical="center" shrinkToFit="1"/>
    </xf>
    <xf numFmtId="0" fontId="16" fillId="0" borderId="12" xfId="0" applyFont="1" applyBorder="1" applyAlignment="1">
      <alignment horizontal="left" vertical="center" shrinkToFit="1"/>
    </xf>
    <xf numFmtId="0" fontId="7" fillId="0" borderId="0" xfId="0" applyFont="1" applyAlignment="1">
      <alignment horizontal="center" vertical="center" wrapText="1"/>
    </xf>
    <xf numFmtId="0" fontId="9" fillId="0" borderId="1" xfId="0" applyFont="1" applyBorder="1" applyAlignment="1">
      <alignment horizontal="left" vertical="center" shrinkToFit="1"/>
    </xf>
    <xf numFmtId="0" fontId="25" fillId="3" borderId="2" xfId="0" applyFont="1" applyFill="1" applyBorder="1" applyAlignment="1">
      <alignment horizontal="center" vertical="center"/>
    </xf>
    <xf numFmtId="0" fontId="25" fillId="3" borderId="4" xfId="0" applyFont="1" applyFill="1" applyBorder="1" applyAlignment="1">
      <alignment horizontal="center" vertical="center"/>
    </xf>
    <xf numFmtId="0" fontId="25" fillId="3" borderId="3" xfId="0" applyFont="1" applyFill="1" applyBorder="1" applyAlignment="1">
      <alignment horizontal="center" vertical="center"/>
    </xf>
    <xf numFmtId="0" fontId="25" fillId="3" borderId="2" xfId="0" applyFont="1" applyFill="1" applyBorder="1" applyAlignment="1">
      <alignment horizontal="center" vertical="center" shrinkToFit="1"/>
    </xf>
    <xf numFmtId="0" fontId="25" fillId="3" borderId="4" xfId="0" applyFont="1" applyFill="1" applyBorder="1" applyAlignment="1">
      <alignment horizontal="center" vertical="center" shrinkToFit="1"/>
    </xf>
    <xf numFmtId="0" fontId="25" fillId="3" borderId="3" xfId="0" applyFont="1" applyFill="1" applyBorder="1" applyAlignment="1">
      <alignment horizontal="center" vertical="center" shrinkToFit="1"/>
    </xf>
  </cellXfs>
  <cellStyles count="2">
    <cellStyle name="桁区切り" xfId="1" builtinId="6"/>
    <cellStyle name="標準" xfId="0" builtinId="0"/>
  </cellStyles>
  <dxfs count="7">
    <dxf>
      <fill>
        <patternFill>
          <bgColor rgb="FFD4F8E3"/>
        </patternFill>
      </fill>
    </dxf>
    <dxf>
      <fill>
        <patternFill>
          <bgColor rgb="FFD4F8E3"/>
        </patternFill>
      </fill>
    </dxf>
    <dxf>
      <fill>
        <patternFill>
          <bgColor rgb="FFD4F8E3"/>
        </patternFill>
      </fill>
    </dxf>
    <dxf>
      <fill>
        <patternFill>
          <bgColor rgb="FFD4F8E3"/>
        </patternFill>
      </fill>
    </dxf>
    <dxf>
      <fill>
        <patternFill>
          <bgColor rgb="FFD4F8E3"/>
        </patternFill>
      </fill>
    </dxf>
    <dxf>
      <fill>
        <patternFill>
          <bgColor rgb="FFD4F8E3"/>
        </patternFill>
      </fill>
    </dxf>
    <dxf>
      <fill>
        <patternFill>
          <bgColor rgb="FFD4F8E3"/>
        </patternFill>
      </fill>
    </dxf>
  </dxfs>
  <tableStyles count="0" defaultTableStyle="TableStyleMedium2" defaultPivotStyle="PivotStyleLight16"/>
  <colors>
    <mruColors>
      <color rgb="FF0000FF"/>
      <color rgb="FF15D348"/>
      <color rgb="FFD4F8E3"/>
      <color rgb="FFFFFFCC"/>
      <color rgb="FFFF7C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D2DFBB-CCF5-4232-92C8-C4562B0D7FC3}">
  <sheetPr codeName="Sheet2">
    <pageSetUpPr fitToPage="1"/>
  </sheetPr>
  <dimension ref="A1:BA132"/>
  <sheetViews>
    <sheetView showGridLines="0" tabSelected="1" view="pageBreakPreview" zoomScaleNormal="100" zoomScaleSheetLayoutView="100" workbookViewId="0">
      <selection activeCell="H3" sqref="H3:AF3"/>
    </sheetView>
  </sheetViews>
  <sheetFormatPr defaultColWidth="3.25" defaultRowHeight="20.100000000000001" customHeight="1"/>
  <cols>
    <col min="1" max="1" width="3.25" style="3" customWidth="1"/>
    <col min="2" max="4" width="3.75" style="3" customWidth="1"/>
    <col min="5" max="14" width="3.25" style="3" customWidth="1"/>
    <col min="15" max="15" width="26.25" style="3" customWidth="1"/>
    <col min="16" max="27" width="3.25" style="3" customWidth="1"/>
    <col min="28" max="32" width="3.25" style="13" customWidth="1"/>
    <col min="33" max="38" width="3.25" style="14" customWidth="1"/>
    <col min="39" max="39" width="7.5" style="5" customWidth="1"/>
    <col min="40" max="40" width="5.125" style="14" hidden="1" customWidth="1"/>
    <col min="41" max="41" width="1.625" style="14" customWidth="1"/>
    <col min="42" max="42" width="34.5" style="61" customWidth="1"/>
    <col min="43" max="44" width="1.625" style="6" customWidth="1"/>
    <col min="45" max="45" width="10" style="6" customWidth="1"/>
    <col min="46" max="46" width="3.25" style="6" customWidth="1"/>
    <col min="47" max="47" width="1.625" style="6" customWidth="1"/>
    <col min="48" max="48" width="3.5" style="6" customWidth="1"/>
    <col min="49" max="49" width="10" style="6" customWidth="1"/>
    <col min="50" max="50" width="27.125" style="6" customWidth="1"/>
    <col min="51" max="51" width="10" style="6" customWidth="1"/>
    <col min="52" max="16384" width="3.25" style="3"/>
  </cols>
  <sheetData>
    <row r="1" spans="1:51" ht="20.100000000000001" customHeight="1">
      <c r="A1" s="3" t="s">
        <v>61</v>
      </c>
      <c r="B1" s="1"/>
      <c r="C1" s="1"/>
      <c r="D1" s="1"/>
      <c r="E1" s="2"/>
      <c r="F1" s="2"/>
      <c r="G1" s="2"/>
      <c r="H1" s="2"/>
      <c r="AB1" s="3"/>
      <c r="AC1" s="3"/>
      <c r="AD1" s="3"/>
      <c r="AE1" s="3"/>
      <c r="AF1" s="4"/>
      <c r="AG1" s="5"/>
      <c r="AH1" s="5"/>
      <c r="AI1" s="5"/>
      <c r="AJ1" s="5"/>
      <c r="AK1" s="5"/>
      <c r="AL1" s="4" t="s">
        <v>1</v>
      </c>
      <c r="AM1" s="4"/>
      <c r="AN1" s="4"/>
      <c r="AO1" s="5"/>
    </row>
    <row r="2" spans="1:51" ht="21" customHeight="1">
      <c r="A2" s="1" t="s">
        <v>0</v>
      </c>
      <c r="AB2" s="3"/>
      <c r="AC2" s="3"/>
      <c r="AD2" s="3"/>
      <c r="AE2" s="3"/>
      <c r="AF2" s="3"/>
      <c r="AG2" s="5"/>
      <c r="AH2" s="5"/>
      <c r="AI2" s="5"/>
      <c r="AJ2" s="5"/>
      <c r="AK2" s="5"/>
      <c r="AL2" s="5"/>
      <c r="AN2" s="5"/>
      <c r="AO2" s="5"/>
    </row>
    <row r="3" spans="1:51" ht="20.100000000000001" customHeight="1">
      <c r="A3" s="97" t="s">
        <v>2</v>
      </c>
      <c r="B3" s="97"/>
      <c r="C3" s="97"/>
      <c r="D3" s="97"/>
      <c r="E3" s="97"/>
      <c r="F3" s="97"/>
      <c r="G3" s="97"/>
      <c r="H3" s="98"/>
      <c r="I3" s="98"/>
      <c r="J3" s="98"/>
      <c r="K3" s="98"/>
      <c r="L3" s="98"/>
      <c r="M3" s="98"/>
      <c r="N3" s="98"/>
      <c r="O3" s="98"/>
      <c r="P3" s="98"/>
      <c r="Q3" s="98"/>
      <c r="R3" s="98"/>
      <c r="S3" s="98"/>
      <c r="T3" s="98"/>
      <c r="U3" s="98"/>
      <c r="V3" s="98"/>
      <c r="W3" s="98"/>
      <c r="X3" s="98"/>
      <c r="Y3" s="98"/>
      <c r="Z3" s="98"/>
      <c r="AA3" s="98"/>
      <c r="AB3" s="98"/>
      <c r="AC3" s="98"/>
      <c r="AD3" s="98"/>
      <c r="AE3" s="98"/>
      <c r="AF3" s="98"/>
      <c r="AG3" s="5"/>
      <c r="AH3" s="5"/>
      <c r="AI3" s="5"/>
      <c r="AJ3" s="5"/>
      <c r="AK3" s="5"/>
      <c r="AL3" s="5"/>
      <c r="AN3" s="5"/>
      <c r="AO3" s="5"/>
      <c r="AP3" s="64" t="s">
        <v>55</v>
      </c>
    </row>
    <row r="4" spans="1:51" ht="6.95" customHeight="1">
      <c r="AB4" s="3"/>
      <c r="AC4" s="3"/>
      <c r="AD4" s="3"/>
      <c r="AE4" s="3"/>
      <c r="AF4" s="3"/>
      <c r="AG4" s="5"/>
      <c r="AH4" s="5"/>
      <c r="AI4" s="5"/>
      <c r="AJ4" s="5"/>
      <c r="AK4" s="5"/>
      <c r="AL4" s="5"/>
      <c r="AN4" s="5"/>
      <c r="AO4" s="5"/>
      <c r="AP4" s="64"/>
    </row>
    <row r="5" spans="1:51" ht="20.100000000000001" customHeight="1">
      <c r="A5" s="91" t="s">
        <v>3</v>
      </c>
      <c r="B5" s="92"/>
      <c r="C5" s="92"/>
      <c r="D5" s="92"/>
      <c r="E5" s="92"/>
      <c r="F5" s="92"/>
      <c r="G5" s="92"/>
      <c r="H5" s="92"/>
      <c r="I5" s="92"/>
      <c r="J5" s="92"/>
      <c r="K5" s="93" t="s">
        <v>4</v>
      </c>
      <c r="L5" s="93"/>
      <c r="M5" s="93"/>
      <c r="N5" s="93"/>
      <c r="O5" s="93"/>
      <c r="P5" s="89">
        <f>COUNTIF(B32:B131,"✓")</f>
        <v>0</v>
      </c>
      <c r="Q5" s="89"/>
      <c r="R5" s="71" t="s">
        <v>5</v>
      </c>
      <c r="S5" s="12"/>
      <c r="T5" s="8" t="s">
        <v>6</v>
      </c>
      <c r="U5" s="72" t="s">
        <v>7</v>
      </c>
      <c r="V5" s="89">
        <f>COUNTIFS(B32:B131,"✓",AM32:AM131,"✓")</f>
        <v>0</v>
      </c>
      <c r="W5" s="89"/>
      <c r="X5" s="71" t="s">
        <v>5</v>
      </c>
      <c r="Y5" s="9" t="s">
        <v>8</v>
      </c>
      <c r="Z5" s="77" t="str">
        <f>IF(AND(P5&lt;&gt;0,V5&lt;5),"※ 参画事業者が5者未満の取組は申請することができません。","")</f>
        <v/>
      </c>
      <c r="AA5" s="77"/>
      <c r="AB5" s="77"/>
      <c r="AC5" s="77"/>
      <c r="AD5" s="77"/>
      <c r="AE5" s="77"/>
      <c r="AF5" s="77"/>
      <c r="AG5" s="77"/>
      <c r="AH5" s="77"/>
      <c r="AN5" s="5"/>
      <c r="AO5" s="6"/>
      <c r="AP5" s="65">
        <f>IFERROR(V5/P5,0)</f>
        <v>0</v>
      </c>
      <c r="AY5" s="5"/>
    </row>
    <row r="6" spans="1:51" ht="20.100000000000001" customHeight="1">
      <c r="A6" s="91" t="s">
        <v>9</v>
      </c>
      <c r="B6" s="92"/>
      <c r="C6" s="92"/>
      <c r="D6" s="92"/>
      <c r="E6" s="92"/>
      <c r="F6" s="92"/>
      <c r="G6" s="92"/>
      <c r="H6" s="92"/>
      <c r="I6" s="92"/>
      <c r="J6" s="92"/>
      <c r="K6" s="93" t="s">
        <v>4</v>
      </c>
      <c r="L6" s="93"/>
      <c r="M6" s="93"/>
      <c r="N6" s="93"/>
      <c r="O6" s="93"/>
      <c r="P6" s="89">
        <f>COUNTIF(C32:C131,"✓")</f>
        <v>0</v>
      </c>
      <c r="Q6" s="89"/>
      <c r="R6" s="71" t="s">
        <v>5</v>
      </c>
      <c r="S6" s="12"/>
      <c r="T6" s="8" t="s">
        <v>6</v>
      </c>
      <c r="U6" s="72" t="s">
        <v>7</v>
      </c>
      <c r="V6" s="89">
        <f>COUNTIFS(C32:C131,"✓",AM32:AM131,"✓")</f>
        <v>0</v>
      </c>
      <c r="W6" s="89"/>
      <c r="X6" s="71" t="s">
        <v>5</v>
      </c>
      <c r="Y6" s="9" t="s">
        <v>8</v>
      </c>
      <c r="Z6" s="77" t="str">
        <f>IF(AND(P6&lt;&gt;0,V6&lt;5),"※ 参画事業者が5者未満の取組は申請することができません。","")</f>
        <v/>
      </c>
      <c r="AA6" s="77"/>
      <c r="AB6" s="77"/>
      <c r="AC6" s="77"/>
      <c r="AD6" s="77"/>
      <c r="AE6" s="77"/>
      <c r="AF6" s="77"/>
      <c r="AG6" s="77"/>
      <c r="AH6" s="77"/>
      <c r="AN6" s="5"/>
      <c r="AO6" s="6"/>
      <c r="AP6" s="65">
        <f>IFERROR(V6/P6,0)</f>
        <v>0</v>
      </c>
      <c r="AY6" s="5"/>
    </row>
    <row r="7" spans="1:51" ht="20.100000000000001" customHeight="1">
      <c r="A7" s="91" t="s">
        <v>65</v>
      </c>
      <c r="B7" s="92"/>
      <c r="C7" s="92"/>
      <c r="D7" s="92"/>
      <c r="E7" s="92"/>
      <c r="F7" s="92"/>
      <c r="G7" s="92"/>
      <c r="H7" s="92"/>
      <c r="I7" s="92"/>
      <c r="J7" s="92"/>
      <c r="K7" s="93" t="s">
        <v>4</v>
      </c>
      <c r="L7" s="93"/>
      <c r="M7" s="93"/>
      <c r="N7" s="93"/>
      <c r="O7" s="93"/>
      <c r="P7" s="89">
        <f>COUNTIF(D32:D131,"✓")</f>
        <v>0</v>
      </c>
      <c r="Q7" s="89"/>
      <c r="R7" s="71" t="s">
        <v>5</v>
      </c>
      <c r="S7" s="12"/>
      <c r="T7" s="8" t="s">
        <v>6</v>
      </c>
      <c r="U7" s="72" t="s">
        <v>7</v>
      </c>
      <c r="V7" s="89">
        <f>COUNTIFS(D32:D131,"✓",AM32:AM131,"✓")</f>
        <v>0</v>
      </c>
      <c r="W7" s="89"/>
      <c r="X7" s="71" t="s">
        <v>5</v>
      </c>
      <c r="Y7" s="9" t="s">
        <v>8</v>
      </c>
      <c r="Z7" s="77" t="str">
        <f>IF(AND(P7&lt;&gt;0,V7&lt;5),"※ 参画事業者が5者未満の取組は申請することができません。","")</f>
        <v/>
      </c>
      <c r="AA7" s="77"/>
      <c r="AB7" s="77"/>
      <c r="AC7" s="77"/>
      <c r="AD7" s="77"/>
      <c r="AE7" s="77"/>
      <c r="AF7" s="77"/>
      <c r="AG7" s="77"/>
      <c r="AH7" s="77"/>
      <c r="AN7" s="5"/>
      <c r="AO7" s="6"/>
      <c r="AP7" s="65">
        <f>IFERROR(V7/P7,0)</f>
        <v>0</v>
      </c>
      <c r="AY7" s="5"/>
    </row>
    <row r="8" spans="1:51" ht="6.95" customHeight="1">
      <c r="A8" s="8"/>
      <c r="B8" s="8"/>
      <c r="C8" s="8"/>
      <c r="D8" s="8"/>
      <c r="E8" s="8"/>
      <c r="F8" s="8"/>
      <c r="G8" s="8"/>
      <c r="H8" s="8"/>
      <c r="I8" s="8"/>
      <c r="J8" s="8"/>
      <c r="K8" s="8"/>
      <c r="L8" s="9"/>
      <c r="M8" s="9"/>
      <c r="N8" s="8"/>
      <c r="O8" s="8"/>
      <c r="P8" s="8"/>
      <c r="Q8" s="8"/>
      <c r="R8" s="8"/>
      <c r="S8" s="8"/>
      <c r="U8" s="90"/>
      <c r="V8" s="90"/>
      <c r="W8" s="10"/>
      <c r="X8" s="10"/>
      <c r="Y8" s="10"/>
      <c r="Z8" s="11"/>
      <c r="AA8" s="90"/>
      <c r="AB8" s="90"/>
      <c r="AC8" s="10"/>
      <c r="AD8" s="10"/>
      <c r="AE8" s="10"/>
      <c r="AF8" s="10"/>
      <c r="AG8" s="10"/>
      <c r="AH8" s="10"/>
      <c r="AI8" s="11"/>
      <c r="AJ8" s="7"/>
      <c r="AK8" s="5"/>
      <c r="AL8" s="5"/>
      <c r="AN8" s="5"/>
      <c r="AO8" s="6"/>
      <c r="AP8" s="62"/>
      <c r="AY8" s="5"/>
    </row>
    <row r="9" spans="1:51" ht="13.5" customHeight="1">
      <c r="A9" s="52" t="s">
        <v>10</v>
      </c>
      <c r="B9" s="7"/>
      <c r="C9" s="7"/>
      <c r="D9" s="7"/>
      <c r="E9" s="7"/>
      <c r="F9" s="7"/>
      <c r="G9" s="7"/>
      <c r="H9" s="7"/>
      <c r="I9" s="7"/>
      <c r="J9" s="7"/>
      <c r="K9" s="7"/>
      <c r="L9" s="7"/>
      <c r="M9" s="7"/>
      <c r="N9" s="7"/>
      <c r="O9" s="7"/>
      <c r="P9" s="7"/>
      <c r="Q9" s="7"/>
      <c r="R9" s="5"/>
      <c r="S9" s="5"/>
      <c r="T9" s="5"/>
      <c r="AN9" s="5"/>
      <c r="AO9" s="5"/>
    </row>
    <row r="10" spans="1:51" ht="20.100000000000001" customHeight="1">
      <c r="A10" s="2" t="s">
        <v>11</v>
      </c>
      <c r="B10" s="2"/>
      <c r="C10" s="2"/>
      <c r="D10" s="2"/>
      <c r="AN10" s="5"/>
      <c r="AO10" s="5"/>
    </row>
    <row r="11" spans="1:51" ht="13.5" customHeight="1">
      <c r="A11" s="12" t="s">
        <v>12</v>
      </c>
      <c r="B11" s="12"/>
      <c r="C11" s="12"/>
      <c r="D11" s="12"/>
      <c r="E11" s="12"/>
      <c r="AN11" s="5"/>
      <c r="AO11" s="5"/>
    </row>
    <row r="12" spans="1:51" ht="13.5" customHeight="1">
      <c r="A12" s="9" t="s">
        <v>13</v>
      </c>
      <c r="B12" s="9"/>
      <c r="C12" s="9"/>
      <c r="D12" s="9"/>
      <c r="E12" s="9"/>
      <c r="F12" s="7"/>
      <c r="G12" s="7"/>
      <c r="H12" s="7"/>
      <c r="I12" s="7"/>
      <c r="J12" s="7"/>
      <c r="K12" s="7"/>
      <c r="L12" s="7"/>
      <c r="M12" s="7"/>
      <c r="N12" s="7"/>
      <c r="O12" s="7"/>
      <c r="P12" s="7"/>
      <c r="Q12" s="7"/>
      <c r="R12" s="7"/>
      <c r="S12" s="7"/>
      <c r="T12" s="7"/>
      <c r="AN12" s="7"/>
      <c r="AO12" s="5"/>
    </row>
    <row r="13" spans="1:51" ht="13.5" customHeight="1">
      <c r="A13" s="9" t="s">
        <v>14</v>
      </c>
      <c r="B13" s="9"/>
      <c r="C13" s="9"/>
      <c r="D13" s="9"/>
      <c r="E13" s="9"/>
      <c r="F13" s="7"/>
      <c r="G13" s="7"/>
      <c r="H13" s="7"/>
      <c r="I13" s="7"/>
      <c r="J13" s="7"/>
      <c r="K13" s="7"/>
      <c r="L13" s="7"/>
      <c r="M13" s="7"/>
      <c r="N13" s="7"/>
      <c r="O13" s="7"/>
      <c r="P13" s="7"/>
      <c r="Q13" s="7"/>
      <c r="R13" s="7"/>
      <c r="S13" s="7"/>
      <c r="T13" s="7"/>
      <c r="AN13" s="7"/>
      <c r="AO13" s="5"/>
    </row>
    <row r="14" spans="1:51" ht="13.5" customHeight="1">
      <c r="A14" s="9" t="s">
        <v>62</v>
      </c>
      <c r="B14" s="9"/>
      <c r="C14" s="9"/>
      <c r="D14" s="9"/>
      <c r="E14" s="9"/>
      <c r="F14" s="7"/>
      <c r="G14" s="7"/>
      <c r="H14" s="7"/>
      <c r="I14" s="7"/>
      <c r="J14" s="7"/>
      <c r="K14" s="7"/>
      <c r="L14" s="7"/>
      <c r="M14" s="7"/>
      <c r="N14" s="7"/>
      <c r="O14" s="7"/>
      <c r="P14" s="7"/>
      <c r="Q14" s="7"/>
      <c r="R14" s="7"/>
      <c r="S14" s="7"/>
      <c r="T14" s="7"/>
      <c r="AN14" s="7"/>
      <c r="AO14" s="5"/>
    </row>
    <row r="15" spans="1:51" ht="13.5" customHeight="1">
      <c r="A15" s="9" t="s">
        <v>15</v>
      </c>
      <c r="B15" s="9"/>
      <c r="C15" s="9"/>
      <c r="D15" s="9"/>
      <c r="E15" s="9"/>
      <c r="F15" s="7"/>
      <c r="G15" s="7"/>
      <c r="H15" s="7"/>
      <c r="I15" s="7"/>
      <c r="J15" s="7"/>
      <c r="K15" s="7"/>
      <c r="L15" s="7"/>
      <c r="M15" s="7"/>
      <c r="N15" s="7"/>
      <c r="O15" s="7"/>
      <c r="P15" s="7"/>
      <c r="Q15" s="7"/>
      <c r="R15" s="7"/>
      <c r="S15" s="7"/>
      <c r="T15" s="7"/>
      <c r="U15" s="7"/>
      <c r="V15" s="7"/>
      <c r="W15" s="7"/>
      <c r="X15" s="7"/>
      <c r="Y15" s="7"/>
      <c r="Z15" s="7"/>
      <c r="AA15" s="7"/>
      <c r="AB15" s="7"/>
      <c r="AC15" s="7"/>
      <c r="AD15" s="7"/>
      <c r="AE15" s="7"/>
      <c r="AF15" s="7"/>
      <c r="AG15" s="7"/>
      <c r="AH15" s="7"/>
      <c r="AI15" s="7"/>
      <c r="AJ15" s="7"/>
      <c r="AK15" s="7"/>
      <c r="AL15" s="7"/>
      <c r="AM15" s="7"/>
      <c r="AN15" s="7"/>
      <c r="AO15" s="5"/>
    </row>
    <row r="16" spans="1:51" ht="13.5" customHeight="1">
      <c r="A16" s="9" t="s">
        <v>16</v>
      </c>
      <c r="B16" s="9"/>
      <c r="C16" s="9"/>
      <c r="D16" s="9"/>
      <c r="E16" s="9"/>
      <c r="F16" s="7"/>
      <c r="G16" s="7"/>
      <c r="H16" s="7"/>
      <c r="I16" s="7"/>
      <c r="J16" s="7"/>
      <c r="K16" s="7"/>
      <c r="L16" s="7"/>
      <c r="M16" s="7"/>
      <c r="N16" s="7"/>
      <c r="O16" s="7"/>
      <c r="P16" s="7"/>
      <c r="Q16" s="7"/>
      <c r="R16" s="7"/>
      <c r="S16" s="7"/>
      <c r="T16" s="7"/>
      <c r="U16" s="7"/>
      <c r="V16" s="7"/>
      <c r="W16" s="7"/>
      <c r="X16" s="7"/>
      <c r="Y16" s="7"/>
      <c r="Z16" s="7"/>
      <c r="AA16" s="7"/>
      <c r="AB16" s="7"/>
      <c r="AC16" s="7"/>
      <c r="AD16" s="7"/>
      <c r="AE16" s="7"/>
      <c r="AF16" s="7"/>
      <c r="AG16" s="7"/>
      <c r="AH16" s="7"/>
      <c r="AI16" s="7"/>
      <c r="AJ16" s="7"/>
      <c r="AK16" s="7"/>
      <c r="AL16" s="7"/>
      <c r="AM16" s="7"/>
      <c r="AN16" s="7"/>
      <c r="AO16" s="5"/>
    </row>
    <row r="17" spans="1:51" ht="6.95" customHeight="1">
      <c r="A17" s="7"/>
      <c r="B17" s="7"/>
      <c r="C17" s="7"/>
      <c r="D17" s="7"/>
      <c r="E17" s="7"/>
      <c r="F17" s="7"/>
      <c r="G17" s="7"/>
      <c r="H17" s="7"/>
      <c r="I17" s="7"/>
      <c r="J17" s="7"/>
      <c r="K17" s="7"/>
      <c r="L17" s="7"/>
      <c r="M17" s="7"/>
      <c r="N17" s="7"/>
      <c r="O17" s="7"/>
      <c r="P17" s="7"/>
      <c r="Q17" s="7"/>
      <c r="R17" s="7"/>
      <c r="S17" s="7"/>
      <c r="T17" s="7"/>
      <c r="U17" s="7"/>
      <c r="V17" s="7"/>
      <c r="W17" s="7"/>
      <c r="X17" s="7"/>
      <c r="Y17" s="7"/>
      <c r="Z17" s="7"/>
      <c r="AA17" s="7"/>
      <c r="AB17" s="7"/>
      <c r="AC17" s="7"/>
      <c r="AD17" s="7"/>
      <c r="AE17" s="7"/>
      <c r="AF17" s="7"/>
      <c r="AG17" s="7"/>
      <c r="AH17" s="7"/>
      <c r="AI17" s="7"/>
      <c r="AJ17" s="7"/>
      <c r="AK17" s="7"/>
      <c r="AL17" s="7"/>
      <c r="AM17" s="7"/>
      <c r="AN17" s="7"/>
      <c r="AO17" s="5"/>
    </row>
    <row r="18" spans="1:51" ht="20.100000000000001" customHeight="1">
      <c r="A18" s="2" t="s">
        <v>17</v>
      </c>
      <c r="B18" s="2"/>
      <c r="C18" s="2"/>
      <c r="D18" s="2"/>
      <c r="E18" s="6"/>
      <c r="F18" s="6"/>
      <c r="G18" s="6"/>
      <c r="H18" s="6"/>
      <c r="I18" s="6"/>
      <c r="J18" s="6"/>
      <c r="K18" s="6"/>
      <c r="L18" s="6"/>
      <c r="M18" s="6"/>
      <c r="N18" s="6"/>
      <c r="O18" s="6"/>
      <c r="P18" s="6"/>
      <c r="Q18" s="6"/>
      <c r="R18" s="6"/>
      <c r="S18" s="6"/>
      <c r="T18" s="6"/>
      <c r="U18" s="6"/>
      <c r="V18" s="6"/>
      <c r="W18" s="6"/>
      <c r="X18" s="6"/>
      <c r="Y18" s="6"/>
      <c r="Z18" s="6"/>
      <c r="AA18" s="6"/>
      <c r="AB18" s="6"/>
      <c r="AC18" s="6"/>
      <c r="AD18" s="6"/>
      <c r="AE18" s="6"/>
      <c r="AK18" s="5"/>
      <c r="AL18" s="5"/>
      <c r="AN18" s="5"/>
      <c r="AO18" s="5"/>
    </row>
    <row r="19" spans="1:51" ht="20.100000000000001" customHeight="1">
      <c r="A19" s="12" t="s">
        <v>63</v>
      </c>
      <c r="B19" s="12"/>
      <c r="C19" s="12"/>
      <c r="D19" s="12"/>
      <c r="E19" s="6"/>
      <c r="F19" s="6"/>
      <c r="G19" s="6"/>
      <c r="H19" s="6"/>
      <c r="I19" s="6"/>
      <c r="J19" s="6"/>
      <c r="K19" s="6"/>
      <c r="L19" s="6"/>
      <c r="M19" s="6"/>
      <c r="N19" s="6"/>
      <c r="O19" s="6"/>
      <c r="P19" s="6"/>
      <c r="Q19" s="6"/>
      <c r="R19" s="6"/>
      <c r="S19" s="6"/>
      <c r="T19" s="6"/>
      <c r="U19" s="6"/>
      <c r="V19" s="6"/>
      <c r="W19" s="6"/>
      <c r="X19" s="6"/>
      <c r="Y19" s="6"/>
      <c r="Z19" s="6"/>
      <c r="AA19" s="6"/>
      <c r="AB19" s="6"/>
      <c r="AC19" s="6"/>
      <c r="AD19" s="5"/>
      <c r="AE19" s="5"/>
      <c r="AF19" s="5"/>
      <c r="AG19" s="5"/>
      <c r="AH19" s="5"/>
      <c r="AI19" s="5"/>
      <c r="AJ19" s="5"/>
      <c r="AK19" s="5"/>
      <c r="AL19" s="5"/>
      <c r="AN19" s="5"/>
      <c r="AO19" s="5"/>
    </row>
    <row r="20" spans="1:51" ht="25.5" customHeight="1">
      <c r="A20" s="82" t="s">
        <v>57</v>
      </c>
      <c r="B20" s="83"/>
      <c r="C20" s="83"/>
      <c r="D20" s="83"/>
      <c r="E20" s="83"/>
      <c r="F20" s="83"/>
      <c r="G20" s="83"/>
      <c r="H20" s="83"/>
      <c r="I20" s="83"/>
      <c r="J20" s="83"/>
      <c r="K20" s="83"/>
      <c r="L20" s="83"/>
      <c r="M20" s="83"/>
      <c r="N20" s="83"/>
      <c r="O20" s="83"/>
      <c r="P20" s="66"/>
      <c r="Q20" s="109" t="s">
        <v>18</v>
      </c>
      <c r="R20" s="110"/>
      <c r="S20" s="110"/>
      <c r="T20" s="110"/>
      <c r="U20" s="110"/>
      <c r="V20" s="110"/>
      <c r="W20" s="111"/>
      <c r="X20" s="66"/>
      <c r="Y20" s="109" t="s">
        <v>19</v>
      </c>
      <c r="Z20" s="110"/>
      <c r="AA20" s="110"/>
      <c r="AB20" s="110"/>
      <c r="AC20" s="110"/>
      <c r="AD20" s="110"/>
      <c r="AE20" s="111"/>
      <c r="AF20" s="87" t="str">
        <f>IF(OR(AND(P20="",X20=""),AND(P20&lt;&gt;"",X20&lt;&gt;"")),"←いずれかの該当する項目を選択","")</f>
        <v>←いずれかの該当する項目を選択</v>
      </c>
      <c r="AG20" s="88"/>
      <c r="AH20" s="88"/>
      <c r="AI20" s="88"/>
      <c r="AJ20" s="88"/>
      <c r="AK20" s="88"/>
      <c r="AN20" s="15"/>
      <c r="AO20" s="5"/>
    </row>
    <row r="21" spans="1:51" ht="25.5" customHeight="1">
      <c r="A21" s="82" t="s">
        <v>20</v>
      </c>
      <c r="B21" s="83"/>
      <c r="C21" s="83"/>
      <c r="D21" s="83"/>
      <c r="E21" s="83"/>
      <c r="F21" s="83"/>
      <c r="G21" s="83"/>
      <c r="H21" s="83"/>
      <c r="I21" s="83"/>
      <c r="J21" s="83"/>
      <c r="K21" s="83"/>
      <c r="L21" s="83"/>
      <c r="M21" s="83"/>
      <c r="N21" s="83"/>
      <c r="O21" s="83"/>
      <c r="P21" s="66"/>
      <c r="Q21" s="109" t="s">
        <v>18</v>
      </c>
      <c r="R21" s="110"/>
      <c r="S21" s="110"/>
      <c r="T21" s="110"/>
      <c r="U21" s="110"/>
      <c r="V21" s="110"/>
      <c r="W21" s="111"/>
      <c r="X21" s="66"/>
      <c r="Y21" s="109" t="s">
        <v>19</v>
      </c>
      <c r="Z21" s="110"/>
      <c r="AA21" s="110"/>
      <c r="AB21" s="110"/>
      <c r="AC21" s="110"/>
      <c r="AD21" s="110"/>
      <c r="AE21" s="111"/>
      <c r="AF21" s="87" t="str">
        <f t="shared" ref="AF21:AF24" si="0">IF(OR(AND(P21="",X21=""),AND(P21&lt;&gt;"",X21&lt;&gt;"")),"←いずれかの該当する項目を選択","")</f>
        <v>←いずれかの該当する項目を選択</v>
      </c>
      <c r="AG21" s="88"/>
      <c r="AH21" s="88"/>
      <c r="AI21" s="88"/>
      <c r="AJ21" s="88"/>
      <c r="AK21" s="88"/>
      <c r="AN21" s="15"/>
      <c r="AO21" s="5"/>
    </row>
    <row r="22" spans="1:51" ht="25.5" customHeight="1">
      <c r="A22" s="82" t="s">
        <v>58</v>
      </c>
      <c r="B22" s="83"/>
      <c r="C22" s="83"/>
      <c r="D22" s="83"/>
      <c r="E22" s="83"/>
      <c r="F22" s="83"/>
      <c r="G22" s="83"/>
      <c r="H22" s="83"/>
      <c r="I22" s="83"/>
      <c r="J22" s="83"/>
      <c r="K22" s="83"/>
      <c r="L22" s="83"/>
      <c r="M22" s="83"/>
      <c r="N22" s="83"/>
      <c r="O22" s="83"/>
      <c r="P22" s="66"/>
      <c r="Q22" s="109" t="s">
        <v>18</v>
      </c>
      <c r="R22" s="110"/>
      <c r="S22" s="110"/>
      <c r="T22" s="110"/>
      <c r="U22" s="110"/>
      <c r="V22" s="110"/>
      <c r="W22" s="111"/>
      <c r="X22" s="66"/>
      <c r="Y22" s="109" t="s">
        <v>19</v>
      </c>
      <c r="Z22" s="110"/>
      <c r="AA22" s="110"/>
      <c r="AB22" s="110"/>
      <c r="AC22" s="110"/>
      <c r="AD22" s="110"/>
      <c r="AE22" s="111"/>
      <c r="AF22" s="87" t="str">
        <f t="shared" si="0"/>
        <v>←いずれかの該当する項目を選択</v>
      </c>
      <c r="AG22" s="88"/>
      <c r="AH22" s="88"/>
      <c r="AI22" s="88"/>
      <c r="AJ22" s="88"/>
      <c r="AK22" s="88"/>
      <c r="AN22" s="15"/>
      <c r="AO22" s="5"/>
    </row>
    <row r="23" spans="1:51" ht="25.5" customHeight="1">
      <c r="A23" s="82" t="s">
        <v>59</v>
      </c>
      <c r="B23" s="83"/>
      <c r="C23" s="83"/>
      <c r="D23" s="83"/>
      <c r="E23" s="83"/>
      <c r="F23" s="83"/>
      <c r="G23" s="83"/>
      <c r="H23" s="83"/>
      <c r="I23" s="83"/>
      <c r="J23" s="83"/>
      <c r="K23" s="83"/>
      <c r="L23" s="83"/>
      <c r="M23" s="83"/>
      <c r="N23" s="83"/>
      <c r="O23" s="83"/>
      <c r="P23" s="66"/>
      <c r="Q23" s="109" t="s">
        <v>18</v>
      </c>
      <c r="R23" s="110"/>
      <c r="S23" s="110"/>
      <c r="T23" s="110"/>
      <c r="U23" s="110"/>
      <c r="V23" s="110"/>
      <c r="W23" s="111"/>
      <c r="X23" s="66"/>
      <c r="Y23" s="109" t="s">
        <v>19</v>
      </c>
      <c r="Z23" s="110"/>
      <c r="AA23" s="110"/>
      <c r="AB23" s="110"/>
      <c r="AC23" s="110"/>
      <c r="AD23" s="110"/>
      <c r="AE23" s="111"/>
      <c r="AF23" s="87" t="str">
        <f t="shared" si="0"/>
        <v>←いずれかの該当する項目を選択</v>
      </c>
      <c r="AG23" s="88"/>
      <c r="AH23" s="88"/>
      <c r="AI23" s="88"/>
      <c r="AJ23" s="88"/>
      <c r="AK23" s="88"/>
      <c r="AN23" s="15"/>
      <c r="AO23" s="5"/>
    </row>
    <row r="24" spans="1:51" ht="25.5" customHeight="1">
      <c r="A24" s="82" t="s">
        <v>60</v>
      </c>
      <c r="B24" s="83"/>
      <c r="C24" s="83"/>
      <c r="D24" s="83"/>
      <c r="E24" s="83"/>
      <c r="F24" s="83"/>
      <c r="G24" s="83"/>
      <c r="H24" s="83"/>
      <c r="I24" s="83"/>
      <c r="J24" s="83"/>
      <c r="K24" s="83"/>
      <c r="L24" s="83"/>
      <c r="M24" s="83"/>
      <c r="N24" s="83"/>
      <c r="O24" s="83"/>
      <c r="P24" s="66"/>
      <c r="Q24" s="84" t="s">
        <v>18</v>
      </c>
      <c r="R24" s="85"/>
      <c r="S24" s="85"/>
      <c r="T24" s="85"/>
      <c r="U24" s="85"/>
      <c r="V24" s="85"/>
      <c r="W24" s="86"/>
      <c r="X24" s="66"/>
      <c r="Y24" s="84" t="s">
        <v>19</v>
      </c>
      <c r="Z24" s="85"/>
      <c r="AA24" s="85"/>
      <c r="AB24" s="85"/>
      <c r="AC24" s="85"/>
      <c r="AD24" s="85"/>
      <c r="AE24" s="86"/>
      <c r="AF24" s="87" t="str">
        <f t="shared" si="0"/>
        <v>←いずれかの該当する項目を選択</v>
      </c>
      <c r="AG24" s="88"/>
      <c r="AH24" s="88"/>
      <c r="AI24" s="88"/>
      <c r="AJ24" s="88"/>
      <c r="AK24" s="88"/>
      <c r="AN24" s="15"/>
      <c r="AO24" s="5"/>
    </row>
    <row r="25" spans="1:51" ht="25.5" customHeight="1">
      <c r="A25" s="82" t="s">
        <v>64</v>
      </c>
      <c r="B25" s="83"/>
      <c r="C25" s="83"/>
      <c r="D25" s="83"/>
      <c r="E25" s="83"/>
      <c r="F25" s="83"/>
      <c r="G25" s="83"/>
      <c r="H25" s="83"/>
      <c r="I25" s="83"/>
      <c r="J25" s="83"/>
      <c r="K25" s="83"/>
      <c r="L25" s="83"/>
      <c r="M25" s="83"/>
      <c r="N25" s="83"/>
      <c r="O25" s="83"/>
      <c r="P25" s="66"/>
      <c r="Q25" s="84" t="s">
        <v>18</v>
      </c>
      <c r="R25" s="85"/>
      <c r="S25" s="85"/>
      <c r="T25" s="85"/>
      <c r="U25" s="85"/>
      <c r="V25" s="85"/>
      <c r="W25" s="86"/>
      <c r="X25" s="66"/>
      <c r="Y25" s="84" t="s">
        <v>19</v>
      </c>
      <c r="Z25" s="85"/>
      <c r="AA25" s="85"/>
      <c r="AB25" s="85"/>
      <c r="AC25" s="85"/>
      <c r="AD25" s="85"/>
      <c r="AE25" s="86"/>
      <c r="AF25" s="87" t="str">
        <f t="shared" ref="AF25" si="1">IF(OR(AND(P25="",X25=""),AND(P25&lt;&gt;"",X25&lt;&gt;"")),"←いずれかの該当する項目を選択","")</f>
        <v>←いずれかの該当する項目を選択</v>
      </c>
      <c r="AG25" s="88"/>
      <c r="AH25" s="88"/>
      <c r="AI25" s="88"/>
      <c r="AJ25" s="88"/>
      <c r="AK25" s="88"/>
      <c r="AN25" s="15"/>
      <c r="AO25" s="5"/>
    </row>
    <row r="26" spans="1:51" ht="25.5" customHeight="1">
      <c r="A26" s="82" t="s">
        <v>69</v>
      </c>
      <c r="B26" s="83"/>
      <c r="C26" s="83"/>
      <c r="D26" s="83"/>
      <c r="E26" s="83"/>
      <c r="F26" s="83"/>
      <c r="G26" s="83"/>
      <c r="H26" s="83"/>
      <c r="I26" s="83"/>
      <c r="J26" s="83"/>
      <c r="K26" s="83"/>
      <c r="L26" s="83"/>
      <c r="M26" s="83"/>
      <c r="N26" s="83"/>
      <c r="O26" s="83"/>
      <c r="P26" s="66"/>
      <c r="Q26" s="84" t="s">
        <v>18</v>
      </c>
      <c r="R26" s="85"/>
      <c r="S26" s="85"/>
      <c r="T26" s="85"/>
      <c r="U26" s="85"/>
      <c r="V26" s="85"/>
      <c r="W26" s="86"/>
      <c r="X26" s="66"/>
      <c r="Y26" s="84" t="s">
        <v>19</v>
      </c>
      <c r="Z26" s="85"/>
      <c r="AA26" s="85"/>
      <c r="AB26" s="85"/>
      <c r="AC26" s="85"/>
      <c r="AD26" s="85"/>
      <c r="AE26" s="86"/>
      <c r="AF26" s="87" t="str">
        <f t="shared" ref="AF26" si="2">IF(OR(AND(P26="",X26=""),AND(P26&lt;&gt;"",X26&lt;&gt;"")),"←いずれかの該当する項目を選択","")</f>
        <v>←いずれかの該当する項目を選択</v>
      </c>
      <c r="AG26" s="88"/>
      <c r="AH26" s="88"/>
      <c r="AI26" s="88"/>
      <c r="AJ26" s="88"/>
      <c r="AK26" s="88"/>
      <c r="AN26" s="15"/>
      <c r="AO26" s="5"/>
    </row>
    <row r="27" spans="1:51" s="12" customFormat="1" ht="13.5" customHeight="1">
      <c r="A27" s="78" t="s">
        <v>21</v>
      </c>
      <c r="B27" s="78"/>
      <c r="C27" s="78"/>
      <c r="D27" s="78"/>
      <c r="E27" s="78"/>
      <c r="F27" s="78"/>
      <c r="G27" s="78"/>
      <c r="H27" s="78"/>
      <c r="I27" s="78"/>
      <c r="J27" s="78"/>
      <c r="K27" s="78"/>
      <c r="L27" s="78"/>
      <c r="M27" s="78"/>
      <c r="N27" s="78"/>
      <c r="O27" s="78"/>
      <c r="P27" s="78"/>
      <c r="Q27" s="78"/>
      <c r="R27" s="53"/>
      <c r="S27" s="53"/>
      <c r="T27" s="53"/>
      <c r="U27" s="54"/>
      <c r="V27" s="55"/>
      <c r="W27" s="55"/>
      <c r="X27" s="55"/>
      <c r="Y27" s="55"/>
      <c r="Z27" s="55"/>
      <c r="AA27" s="55"/>
      <c r="AB27" s="55"/>
      <c r="AC27" s="54"/>
      <c r="AD27" s="56"/>
      <c r="AE27" s="56"/>
      <c r="AF27" s="58"/>
      <c r="AG27" s="58"/>
      <c r="AH27" s="58"/>
      <c r="AI27" s="58"/>
      <c r="AJ27" s="58"/>
      <c r="AK27" s="57"/>
      <c r="AL27" s="57"/>
      <c r="AM27" s="58"/>
      <c r="AN27" s="58"/>
      <c r="AO27" s="57"/>
      <c r="AP27" s="61"/>
      <c r="AQ27" s="59"/>
      <c r="AR27" s="59"/>
      <c r="AS27" s="59"/>
      <c r="AT27" s="59"/>
      <c r="AU27" s="59"/>
      <c r="AV27" s="59"/>
      <c r="AW27" s="59"/>
      <c r="AX27" s="59"/>
      <c r="AY27" s="59"/>
    </row>
    <row r="28" spans="1:51" s="12" customFormat="1" ht="13.5" customHeight="1">
      <c r="A28" s="67" t="s">
        <v>22</v>
      </c>
      <c r="B28" s="68"/>
      <c r="C28" s="68"/>
      <c r="D28" s="68"/>
      <c r="E28" s="68"/>
      <c r="F28" s="68"/>
      <c r="G28" s="68"/>
      <c r="H28" s="68"/>
      <c r="I28" s="68"/>
      <c r="J28" s="68"/>
      <c r="K28" s="68"/>
      <c r="L28" s="68"/>
      <c r="M28" s="68"/>
      <c r="N28" s="68"/>
      <c r="O28" s="68"/>
      <c r="P28" s="68"/>
      <c r="Q28" s="68"/>
      <c r="R28" s="59"/>
      <c r="S28" s="59"/>
      <c r="T28" s="59"/>
      <c r="U28" s="60"/>
      <c r="V28" s="79"/>
      <c r="W28" s="79"/>
      <c r="X28" s="79"/>
      <c r="Y28" s="79"/>
      <c r="Z28" s="79"/>
      <c r="AA28" s="79"/>
      <c r="AB28" s="79"/>
      <c r="AC28" s="79"/>
      <c r="AD28" s="79"/>
      <c r="AE28" s="60"/>
      <c r="AF28" s="79"/>
      <c r="AG28" s="79"/>
      <c r="AH28" s="79"/>
      <c r="AI28" s="79"/>
      <c r="AJ28" s="79"/>
      <c r="AK28" s="79"/>
      <c r="AL28" s="79"/>
      <c r="AM28" s="57"/>
      <c r="AN28" s="57"/>
      <c r="AO28" s="57"/>
      <c r="AP28" s="61"/>
      <c r="AQ28" s="59"/>
      <c r="AR28" s="59"/>
      <c r="AS28" s="59"/>
      <c r="AT28" s="59"/>
      <c r="AU28" s="59"/>
      <c r="AV28" s="59"/>
      <c r="AW28" s="59"/>
      <c r="AX28" s="59"/>
      <c r="AY28" s="59"/>
    </row>
    <row r="29" spans="1:51" ht="13.5" customHeight="1">
      <c r="A29" s="67" t="s">
        <v>66</v>
      </c>
      <c r="B29" s="69"/>
      <c r="C29" s="70"/>
      <c r="D29" s="70"/>
      <c r="E29" s="70"/>
      <c r="F29" s="70"/>
      <c r="G29" s="70"/>
      <c r="H29" s="70"/>
      <c r="I29" s="70"/>
      <c r="J29" s="70"/>
      <c r="K29" s="70"/>
      <c r="L29" s="70"/>
      <c r="M29" s="70"/>
      <c r="N29" s="70"/>
      <c r="O29" s="70"/>
      <c r="P29" s="70"/>
      <c r="Q29" s="70"/>
      <c r="R29" s="6"/>
      <c r="S29" s="6"/>
      <c r="T29" s="6"/>
      <c r="U29" s="39"/>
      <c r="V29" s="16"/>
      <c r="W29" s="16"/>
      <c r="X29" s="16"/>
      <c r="Y29" s="16"/>
      <c r="Z29" s="16"/>
      <c r="AA29" s="16"/>
      <c r="AB29" s="16"/>
      <c r="AC29" s="16"/>
      <c r="AD29" s="16"/>
      <c r="AE29" s="39"/>
      <c r="AF29" s="16"/>
      <c r="AG29" s="16"/>
      <c r="AH29" s="16"/>
      <c r="AI29" s="16"/>
      <c r="AJ29" s="16"/>
      <c r="AK29" s="16"/>
      <c r="AL29" s="16"/>
      <c r="AN29" s="5"/>
      <c r="AO29" s="5"/>
    </row>
    <row r="30" spans="1:51" ht="14.25" customHeight="1">
      <c r="A30" s="107" t="s">
        <v>23</v>
      </c>
      <c r="B30" s="107" t="s">
        <v>68</v>
      </c>
      <c r="C30" s="107"/>
      <c r="D30" s="107"/>
      <c r="E30" s="108" t="s">
        <v>24</v>
      </c>
      <c r="F30" s="108"/>
      <c r="G30" s="108"/>
      <c r="H30" s="108"/>
      <c r="I30" s="108"/>
      <c r="J30" s="108"/>
      <c r="K30" s="107" t="s">
        <v>25</v>
      </c>
      <c r="L30" s="107"/>
      <c r="M30" s="107"/>
      <c r="N30" s="107"/>
      <c r="O30" s="108" t="s">
        <v>54</v>
      </c>
      <c r="P30" s="108"/>
      <c r="Q30" s="108"/>
      <c r="R30" s="107" t="s">
        <v>26</v>
      </c>
      <c r="S30" s="107"/>
      <c r="T30" s="107"/>
      <c r="U30" s="107"/>
      <c r="V30" s="108" t="s">
        <v>27</v>
      </c>
      <c r="W30" s="108"/>
      <c r="X30" s="108" t="s">
        <v>28</v>
      </c>
      <c r="Y30" s="108"/>
      <c r="Z30" s="108" t="s">
        <v>29</v>
      </c>
      <c r="AA30" s="108"/>
      <c r="AB30" s="108" t="s">
        <v>52</v>
      </c>
      <c r="AC30" s="107"/>
      <c r="AD30" s="107"/>
      <c r="AE30" s="107"/>
      <c r="AF30" s="107" t="s">
        <v>53</v>
      </c>
      <c r="AG30" s="107"/>
      <c r="AH30" s="107"/>
      <c r="AI30" s="108" t="s">
        <v>56</v>
      </c>
      <c r="AJ30" s="108"/>
      <c r="AK30" s="108"/>
      <c r="AL30" s="108"/>
      <c r="AM30" s="108" t="s">
        <v>30</v>
      </c>
      <c r="AN30" s="5"/>
      <c r="AO30" s="5"/>
    </row>
    <row r="31" spans="1:51" s="20" customFormat="1" ht="20.25" customHeight="1">
      <c r="A31" s="107"/>
      <c r="B31" s="73" t="s">
        <v>31</v>
      </c>
      <c r="C31" s="73" t="s">
        <v>32</v>
      </c>
      <c r="D31" s="73" t="s">
        <v>67</v>
      </c>
      <c r="E31" s="108"/>
      <c r="F31" s="108"/>
      <c r="G31" s="108"/>
      <c r="H31" s="108"/>
      <c r="I31" s="108"/>
      <c r="J31" s="108"/>
      <c r="K31" s="107"/>
      <c r="L31" s="107"/>
      <c r="M31" s="107"/>
      <c r="N31" s="107"/>
      <c r="O31" s="108"/>
      <c r="P31" s="108"/>
      <c r="Q31" s="108"/>
      <c r="R31" s="107"/>
      <c r="S31" s="107"/>
      <c r="T31" s="107"/>
      <c r="U31" s="107"/>
      <c r="V31" s="108"/>
      <c r="W31" s="108"/>
      <c r="X31" s="108"/>
      <c r="Y31" s="108"/>
      <c r="Z31" s="108"/>
      <c r="AA31" s="108"/>
      <c r="AB31" s="107"/>
      <c r="AC31" s="107"/>
      <c r="AD31" s="107"/>
      <c r="AE31" s="107"/>
      <c r="AF31" s="107"/>
      <c r="AG31" s="107"/>
      <c r="AH31" s="107"/>
      <c r="AI31" s="108"/>
      <c r="AJ31" s="108"/>
      <c r="AK31" s="108"/>
      <c r="AL31" s="108"/>
      <c r="AM31" s="108"/>
      <c r="AN31" s="18"/>
      <c r="AO31" s="16"/>
      <c r="AP31" s="61"/>
      <c r="AQ31" s="6"/>
      <c r="AR31" s="6"/>
      <c r="AS31" s="6" t="s">
        <v>33</v>
      </c>
      <c r="AT31" s="6"/>
      <c r="AU31" s="6"/>
      <c r="AV31" s="6"/>
      <c r="AW31" s="19"/>
      <c r="AX31" s="19"/>
      <c r="AY31" s="6"/>
    </row>
    <row r="32" spans="1:51" s="20" customFormat="1" ht="15.75">
      <c r="A32" s="21">
        <v>1</v>
      </c>
      <c r="B32" s="22"/>
      <c r="C32" s="22"/>
      <c r="D32" s="22"/>
      <c r="E32" s="105"/>
      <c r="F32" s="105"/>
      <c r="G32" s="105"/>
      <c r="H32" s="105"/>
      <c r="I32" s="105"/>
      <c r="J32" s="105"/>
      <c r="K32" s="99"/>
      <c r="L32" s="100"/>
      <c r="M32" s="100"/>
      <c r="N32" s="101"/>
      <c r="O32" s="94"/>
      <c r="P32" s="95"/>
      <c r="Q32" s="96"/>
      <c r="R32" s="102"/>
      <c r="S32" s="103"/>
      <c r="T32" s="103"/>
      <c r="U32" s="104"/>
      <c r="V32" s="80"/>
      <c r="W32" s="81"/>
      <c r="X32" s="80"/>
      <c r="Y32" s="81"/>
      <c r="Z32" s="80"/>
      <c r="AA32" s="81"/>
      <c r="AB32" s="94"/>
      <c r="AC32" s="95"/>
      <c r="AD32" s="95"/>
      <c r="AE32" s="96"/>
      <c r="AF32" s="94"/>
      <c r="AG32" s="95"/>
      <c r="AH32" s="95"/>
      <c r="AI32" s="106"/>
      <c r="AJ32" s="106"/>
      <c r="AK32" s="106"/>
      <c r="AL32" s="106"/>
      <c r="AM32" s="22" t="str">
        <f>IF(OR(X32="",AS32=""),"",IF($AS32="ok","✓","-"))</f>
        <v/>
      </c>
      <c r="AN32" s="23"/>
      <c r="AO32" s="24"/>
      <c r="AP32" s="63" t="str">
        <f t="shared" ref="AP32:AP48" si="3">IF(2&lt;=COUNTIF(E:E,E32),"・事業者名：重複"&amp;COUNTIF(E:E,E32)&amp;"行","")&amp;IF(AND(E32&lt;&gt;"",R32=""),"・業種：未選択","")&amp;IF(AND(E32&lt;&gt;"",X32=""),"・従業員数：未入力","")</f>
        <v/>
      </c>
      <c r="AQ32" s="25"/>
      <c r="AR32" s="25"/>
      <c r="AS32" s="6" t="str">
        <f t="shared" ref="AS32:AS63" si="4">IF($AT32="","",IF(AND($AT32=$AV$34,$X32&lt;6),"ok",IF(AND($AT32=$AV$35,$X32&lt;21),"ok",IF(AND($AT32=$AV$36,$X32&lt;21),"ok"))))</f>
        <v/>
      </c>
      <c r="AT32" s="6" t="str">
        <f t="shared" ref="AT32:AT95" si="5">IF($R32="","",IF($R32=$AW$34,$AV$34,IF($R32=$AW$35,$AV$35,$AV$36)))</f>
        <v/>
      </c>
      <c r="AU32" s="6"/>
      <c r="AV32" s="6"/>
      <c r="AW32" s="6" t="s">
        <v>35</v>
      </c>
      <c r="AX32" s="19"/>
      <c r="AY32" s="19"/>
    </row>
    <row r="33" spans="1:51" s="20" customFormat="1" ht="15.75">
      <c r="A33" s="21">
        <v>2</v>
      </c>
      <c r="B33" s="22"/>
      <c r="C33" s="22"/>
      <c r="D33" s="22"/>
      <c r="E33" s="105"/>
      <c r="F33" s="105"/>
      <c r="G33" s="105"/>
      <c r="H33" s="105"/>
      <c r="I33" s="105"/>
      <c r="J33" s="105"/>
      <c r="K33" s="99"/>
      <c r="L33" s="100"/>
      <c r="M33" s="100"/>
      <c r="N33" s="101"/>
      <c r="O33" s="94"/>
      <c r="P33" s="95"/>
      <c r="Q33" s="96"/>
      <c r="R33" s="102"/>
      <c r="S33" s="103"/>
      <c r="T33" s="103"/>
      <c r="U33" s="104"/>
      <c r="V33" s="80"/>
      <c r="W33" s="81"/>
      <c r="X33" s="80"/>
      <c r="Y33" s="81"/>
      <c r="Z33" s="80"/>
      <c r="AA33" s="81"/>
      <c r="AB33" s="94"/>
      <c r="AC33" s="95"/>
      <c r="AD33" s="95"/>
      <c r="AE33" s="96"/>
      <c r="AF33" s="94"/>
      <c r="AG33" s="95"/>
      <c r="AH33" s="95"/>
      <c r="AI33" s="106"/>
      <c r="AJ33" s="106"/>
      <c r="AK33" s="106"/>
      <c r="AL33" s="106"/>
      <c r="AM33" s="22" t="str">
        <f t="shared" ref="AM33:AM96" si="6">IF(OR(X33="",AS33=""),"",IF($AS33="ok","✓","-"))</f>
        <v/>
      </c>
      <c r="AN33" s="23"/>
      <c r="AO33" s="24"/>
      <c r="AP33" s="63" t="str">
        <f t="shared" si="3"/>
        <v/>
      </c>
      <c r="AQ33" s="25"/>
      <c r="AR33" s="25"/>
      <c r="AS33" s="6" t="str">
        <f t="shared" si="4"/>
        <v/>
      </c>
      <c r="AT33" s="6" t="str">
        <f t="shared" si="5"/>
        <v/>
      </c>
      <c r="AU33" s="6"/>
      <c r="AV33" s="26"/>
      <c r="AW33" s="27" t="s">
        <v>36</v>
      </c>
      <c r="AX33" s="27"/>
      <c r="AY33" s="28" t="s">
        <v>37</v>
      </c>
    </row>
    <row r="34" spans="1:51" s="20" customFormat="1" ht="15.75">
      <c r="A34" s="21">
        <v>3</v>
      </c>
      <c r="B34" s="22"/>
      <c r="C34" s="22"/>
      <c r="D34" s="22"/>
      <c r="E34" s="105"/>
      <c r="F34" s="105"/>
      <c r="G34" s="105"/>
      <c r="H34" s="105"/>
      <c r="I34" s="105"/>
      <c r="J34" s="105"/>
      <c r="K34" s="99"/>
      <c r="L34" s="100"/>
      <c r="M34" s="100"/>
      <c r="N34" s="101"/>
      <c r="O34" s="94"/>
      <c r="P34" s="95"/>
      <c r="Q34" s="96"/>
      <c r="R34" s="102"/>
      <c r="S34" s="103"/>
      <c r="T34" s="103"/>
      <c r="U34" s="104"/>
      <c r="V34" s="80"/>
      <c r="W34" s="81"/>
      <c r="X34" s="80"/>
      <c r="Y34" s="81"/>
      <c r="Z34" s="80"/>
      <c r="AA34" s="81"/>
      <c r="AB34" s="94"/>
      <c r="AC34" s="95"/>
      <c r="AD34" s="95"/>
      <c r="AE34" s="96"/>
      <c r="AF34" s="94"/>
      <c r="AG34" s="95"/>
      <c r="AH34" s="95"/>
      <c r="AI34" s="106"/>
      <c r="AJ34" s="106"/>
      <c r="AK34" s="106"/>
      <c r="AL34" s="106"/>
      <c r="AM34" s="22" t="str">
        <f>IF(OR(X34="",AS34=""),"",IF($AS34="ok","✓","-"))</f>
        <v/>
      </c>
      <c r="AN34" s="23"/>
      <c r="AO34" s="24"/>
      <c r="AP34" s="63" t="str">
        <f t="shared" si="3"/>
        <v/>
      </c>
      <c r="AQ34" s="25"/>
      <c r="AR34" s="25"/>
      <c r="AS34" s="6" t="str">
        <f t="shared" si="4"/>
        <v/>
      </c>
      <c r="AT34" s="6" t="str">
        <f t="shared" si="5"/>
        <v/>
      </c>
      <c r="AU34" s="6"/>
      <c r="AV34" s="29" t="s">
        <v>38</v>
      </c>
      <c r="AW34" s="30" t="s">
        <v>34</v>
      </c>
      <c r="AX34" s="31"/>
      <c r="AY34" s="32" t="s">
        <v>39</v>
      </c>
    </row>
    <row r="35" spans="1:51" s="20" customFormat="1" ht="15.75">
      <c r="A35" s="21">
        <v>4</v>
      </c>
      <c r="B35" s="22"/>
      <c r="C35" s="22"/>
      <c r="D35" s="22"/>
      <c r="E35" s="105"/>
      <c r="F35" s="105"/>
      <c r="G35" s="105"/>
      <c r="H35" s="105"/>
      <c r="I35" s="105"/>
      <c r="J35" s="105"/>
      <c r="K35" s="99"/>
      <c r="L35" s="100"/>
      <c r="M35" s="100"/>
      <c r="N35" s="101"/>
      <c r="O35" s="94"/>
      <c r="P35" s="95"/>
      <c r="Q35" s="96"/>
      <c r="R35" s="102"/>
      <c r="S35" s="103"/>
      <c r="T35" s="103"/>
      <c r="U35" s="104"/>
      <c r="V35" s="80"/>
      <c r="W35" s="81"/>
      <c r="X35" s="80"/>
      <c r="Y35" s="81"/>
      <c r="Z35" s="80"/>
      <c r="AA35" s="81"/>
      <c r="AB35" s="94"/>
      <c r="AC35" s="95"/>
      <c r="AD35" s="95"/>
      <c r="AE35" s="96"/>
      <c r="AF35" s="94"/>
      <c r="AG35" s="95"/>
      <c r="AH35" s="95"/>
      <c r="AI35" s="106"/>
      <c r="AJ35" s="106"/>
      <c r="AK35" s="106"/>
      <c r="AL35" s="106"/>
      <c r="AM35" s="22" t="str">
        <f t="shared" si="6"/>
        <v/>
      </c>
      <c r="AN35" s="23"/>
      <c r="AO35" s="24"/>
      <c r="AP35" s="63" t="str">
        <f t="shared" si="3"/>
        <v/>
      </c>
      <c r="AQ35" s="25"/>
      <c r="AR35" s="25"/>
      <c r="AS35" s="6" t="str">
        <f t="shared" si="4"/>
        <v/>
      </c>
      <c r="AT35" s="6" t="str">
        <f t="shared" si="5"/>
        <v/>
      </c>
      <c r="AU35" s="6"/>
      <c r="AV35" s="33" t="s">
        <v>40</v>
      </c>
      <c r="AW35" s="7" t="s">
        <v>41</v>
      </c>
      <c r="AX35" s="6"/>
      <c r="AY35" s="34" t="s">
        <v>42</v>
      </c>
    </row>
    <row r="36" spans="1:51" s="20" customFormat="1" ht="15.75">
      <c r="A36" s="21">
        <v>5</v>
      </c>
      <c r="B36" s="22"/>
      <c r="C36" s="22"/>
      <c r="D36" s="22"/>
      <c r="E36" s="94"/>
      <c r="F36" s="95"/>
      <c r="G36" s="95"/>
      <c r="H36" s="95"/>
      <c r="I36" s="95"/>
      <c r="J36" s="96"/>
      <c r="K36" s="99"/>
      <c r="L36" s="100"/>
      <c r="M36" s="100"/>
      <c r="N36" s="101"/>
      <c r="O36" s="94"/>
      <c r="P36" s="95"/>
      <c r="Q36" s="96"/>
      <c r="R36" s="102"/>
      <c r="S36" s="103"/>
      <c r="T36" s="103"/>
      <c r="U36" s="104"/>
      <c r="V36" s="80"/>
      <c r="W36" s="81"/>
      <c r="X36" s="80"/>
      <c r="Y36" s="81"/>
      <c r="Z36" s="80"/>
      <c r="AA36" s="81"/>
      <c r="AB36" s="94"/>
      <c r="AC36" s="95"/>
      <c r="AD36" s="95"/>
      <c r="AE36" s="96"/>
      <c r="AF36" s="94"/>
      <c r="AG36" s="95"/>
      <c r="AH36" s="95"/>
      <c r="AI36" s="106"/>
      <c r="AJ36" s="106"/>
      <c r="AK36" s="106"/>
      <c r="AL36" s="106"/>
      <c r="AM36" s="22" t="str">
        <f t="shared" si="6"/>
        <v/>
      </c>
      <c r="AN36" s="23"/>
      <c r="AO36" s="24"/>
      <c r="AP36" s="63" t="str">
        <f t="shared" si="3"/>
        <v/>
      </c>
      <c r="AQ36" s="25"/>
      <c r="AR36" s="25"/>
      <c r="AS36" s="6" t="str">
        <f t="shared" si="4"/>
        <v/>
      </c>
      <c r="AT36" s="6" t="str">
        <f t="shared" si="5"/>
        <v/>
      </c>
      <c r="AU36" s="6"/>
      <c r="AV36" s="35" t="s">
        <v>43</v>
      </c>
      <c r="AW36" s="36" t="s">
        <v>44</v>
      </c>
      <c r="AX36" s="17"/>
      <c r="AY36" s="37" t="s">
        <v>45</v>
      </c>
    </row>
    <row r="37" spans="1:51" s="20" customFormat="1" ht="15.75">
      <c r="A37" s="21">
        <v>6</v>
      </c>
      <c r="B37" s="22"/>
      <c r="C37" s="22"/>
      <c r="D37" s="22"/>
      <c r="E37" s="105"/>
      <c r="F37" s="105"/>
      <c r="G37" s="105"/>
      <c r="H37" s="105"/>
      <c r="I37" s="105"/>
      <c r="J37" s="105"/>
      <c r="K37" s="99"/>
      <c r="L37" s="100"/>
      <c r="M37" s="100"/>
      <c r="N37" s="101"/>
      <c r="O37" s="94"/>
      <c r="P37" s="95"/>
      <c r="Q37" s="96"/>
      <c r="R37" s="102"/>
      <c r="S37" s="103"/>
      <c r="T37" s="103"/>
      <c r="U37" s="104"/>
      <c r="V37" s="80"/>
      <c r="W37" s="81"/>
      <c r="X37" s="80"/>
      <c r="Y37" s="81"/>
      <c r="Z37" s="80"/>
      <c r="AA37" s="81"/>
      <c r="AB37" s="94"/>
      <c r="AC37" s="95"/>
      <c r="AD37" s="95"/>
      <c r="AE37" s="96"/>
      <c r="AF37" s="94"/>
      <c r="AG37" s="95"/>
      <c r="AH37" s="95"/>
      <c r="AI37" s="106"/>
      <c r="AJ37" s="106"/>
      <c r="AK37" s="106"/>
      <c r="AL37" s="106"/>
      <c r="AM37" s="22" t="str">
        <f t="shared" si="6"/>
        <v/>
      </c>
      <c r="AN37" s="23"/>
      <c r="AO37" s="24"/>
      <c r="AP37" s="63" t="str">
        <f t="shared" si="3"/>
        <v/>
      </c>
      <c r="AQ37" s="25"/>
      <c r="AR37" s="25"/>
      <c r="AS37" s="6" t="str">
        <f t="shared" si="4"/>
        <v/>
      </c>
      <c r="AT37" s="6" t="str">
        <f t="shared" si="5"/>
        <v/>
      </c>
      <c r="AU37" s="6"/>
      <c r="AV37" s="6"/>
      <c r="AW37" s="6"/>
      <c r="AX37" s="6"/>
      <c r="AY37" s="19"/>
    </row>
    <row r="38" spans="1:51" s="20" customFormat="1" ht="15.75">
      <c r="A38" s="21">
        <v>7</v>
      </c>
      <c r="B38" s="22"/>
      <c r="C38" s="22"/>
      <c r="D38" s="22"/>
      <c r="E38" s="105"/>
      <c r="F38" s="105"/>
      <c r="G38" s="105"/>
      <c r="H38" s="105"/>
      <c r="I38" s="105"/>
      <c r="J38" s="105"/>
      <c r="K38" s="99"/>
      <c r="L38" s="100"/>
      <c r="M38" s="100"/>
      <c r="N38" s="101"/>
      <c r="O38" s="94"/>
      <c r="P38" s="95"/>
      <c r="Q38" s="96"/>
      <c r="R38" s="102"/>
      <c r="S38" s="103"/>
      <c r="T38" s="103"/>
      <c r="U38" s="104"/>
      <c r="V38" s="80"/>
      <c r="W38" s="81"/>
      <c r="X38" s="80"/>
      <c r="Y38" s="81"/>
      <c r="Z38" s="80"/>
      <c r="AA38" s="81"/>
      <c r="AB38" s="94"/>
      <c r="AC38" s="95"/>
      <c r="AD38" s="95"/>
      <c r="AE38" s="96"/>
      <c r="AF38" s="94"/>
      <c r="AG38" s="95"/>
      <c r="AH38" s="95"/>
      <c r="AI38" s="99"/>
      <c r="AJ38" s="100"/>
      <c r="AK38" s="100"/>
      <c r="AL38" s="101"/>
      <c r="AM38" s="22" t="str">
        <f t="shared" si="6"/>
        <v/>
      </c>
      <c r="AN38" s="23"/>
      <c r="AO38" s="24"/>
      <c r="AP38" s="63" t="str">
        <f t="shared" si="3"/>
        <v/>
      </c>
      <c r="AQ38" s="25"/>
      <c r="AR38" s="25"/>
      <c r="AS38" s="6" t="str">
        <f t="shared" si="4"/>
        <v/>
      </c>
      <c r="AT38" s="6" t="str">
        <f t="shared" si="5"/>
        <v/>
      </c>
      <c r="AU38" s="6"/>
      <c r="AV38" s="6"/>
      <c r="AW38" s="6"/>
      <c r="AX38" s="6"/>
      <c r="AY38" s="19"/>
    </row>
    <row r="39" spans="1:51" s="20" customFormat="1" ht="15.75">
      <c r="A39" s="21">
        <v>8</v>
      </c>
      <c r="B39" s="22"/>
      <c r="C39" s="22"/>
      <c r="D39" s="22"/>
      <c r="E39" s="105"/>
      <c r="F39" s="105"/>
      <c r="G39" s="105"/>
      <c r="H39" s="105"/>
      <c r="I39" s="105"/>
      <c r="J39" s="105"/>
      <c r="K39" s="99"/>
      <c r="L39" s="100"/>
      <c r="M39" s="100"/>
      <c r="N39" s="101"/>
      <c r="O39" s="94"/>
      <c r="P39" s="95"/>
      <c r="Q39" s="96"/>
      <c r="R39" s="102"/>
      <c r="S39" s="103"/>
      <c r="T39" s="103"/>
      <c r="U39" s="104"/>
      <c r="V39" s="80"/>
      <c r="W39" s="81"/>
      <c r="X39" s="80"/>
      <c r="Y39" s="81"/>
      <c r="Z39" s="80"/>
      <c r="AA39" s="81"/>
      <c r="AB39" s="94"/>
      <c r="AC39" s="95"/>
      <c r="AD39" s="95"/>
      <c r="AE39" s="96"/>
      <c r="AF39" s="94"/>
      <c r="AG39" s="95"/>
      <c r="AH39" s="95"/>
      <c r="AI39" s="106"/>
      <c r="AJ39" s="106"/>
      <c r="AK39" s="106"/>
      <c r="AL39" s="106"/>
      <c r="AM39" s="22" t="str">
        <f t="shared" si="6"/>
        <v/>
      </c>
      <c r="AN39" s="23"/>
      <c r="AO39" s="24"/>
      <c r="AP39" s="63" t="str">
        <f t="shared" si="3"/>
        <v/>
      </c>
      <c r="AQ39" s="25"/>
      <c r="AR39" s="25"/>
      <c r="AS39" s="6" t="str">
        <f t="shared" si="4"/>
        <v/>
      </c>
      <c r="AT39" s="6" t="str">
        <f t="shared" si="5"/>
        <v/>
      </c>
      <c r="AU39" s="6"/>
      <c r="AV39" s="6"/>
      <c r="AW39" s="19"/>
      <c r="AX39" s="19"/>
      <c r="AY39" s="19"/>
    </row>
    <row r="40" spans="1:51" s="20" customFormat="1" ht="15.75">
      <c r="A40" s="21">
        <v>9</v>
      </c>
      <c r="B40" s="22"/>
      <c r="C40" s="22"/>
      <c r="D40" s="22"/>
      <c r="E40" s="94"/>
      <c r="F40" s="95"/>
      <c r="G40" s="95"/>
      <c r="H40" s="95"/>
      <c r="I40" s="95"/>
      <c r="J40" s="96"/>
      <c r="K40" s="99"/>
      <c r="L40" s="100"/>
      <c r="M40" s="100"/>
      <c r="N40" s="101"/>
      <c r="O40" s="94"/>
      <c r="P40" s="95"/>
      <c r="Q40" s="96"/>
      <c r="R40" s="102"/>
      <c r="S40" s="103"/>
      <c r="T40" s="103"/>
      <c r="U40" s="104"/>
      <c r="V40" s="80"/>
      <c r="W40" s="81"/>
      <c r="X40" s="80"/>
      <c r="Y40" s="81"/>
      <c r="Z40" s="80"/>
      <c r="AA40" s="81"/>
      <c r="AB40" s="94"/>
      <c r="AC40" s="95"/>
      <c r="AD40" s="95"/>
      <c r="AE40" s="96"/>
      <c r="AF40" s="94"/>
      <c r="AG40" s="95"/>
      <c r="AH40" s="95"/>
      <c r="AI40" s="106"/>
      <c r="AJ40" s="106"/>
      <c r="AK40" s="106"/>
      <c r="AL40" s="106"/>
      <c r="AM40" s="22" t="str">
        <f t="shared" si="6"/>
        <v/>
      </c>
      <c r="AN40" s="23"/>
      <c r="AO40" s="24"/>
      <c r="AP40" s="63" t="str">
        <f t="shared" si="3"/>
        <v/>
      </c>
      <c r="AQ40" s="25"/>
      <c r="AR40" s="25"/>
      <c r="AS40" s="6" t="str">
        <f t="shared" si="4"/>
        <v/>
      </c>
      <c r="AT40" s="6" t="str">
        <f t="shared" si="5"/>
        <v/>
      </c>
      <c r="AU40" s="6"/>
      <c r="AV40" s="6"/>
      <c r="AW40" s="19"/>
      <c r="AX40" s="19"/>
      <c r="AY40" s="19"/>
    </row>
    <row r="41" spans="1:51" s="20" customFormat="1" ht="15.75">
      <c r="A41" s="21">
        <v>10</v>
      </c>
      <c r="B41" s="22"/>
      <c r="C41" s="22"/>
      <c r="D41" s="22"/>
      <c r="E41" s="105"/>
      <c r="F41" s="105"/>
      <c r="G41" s="105"/>
      <c r="H41" s="105"/>
      <c r="I41" s="105"/>
      <c r="J41" s="105"/>
      <c r="K41" s="99"/>
      <c r="L41" s="100"/>
      <c r="M41" s="100"/>
      <c r="N41" s="101"/>
      <c r="O41" s="94"/>
      <c r="P41" s="95"/>
      <c r="Q41" s="96"/>
      <c r="R41" s="102"/>
      <c r="S41" s="103"/>
      <c r="T41" s="103"/>
      <c r="U41" s="104"/>
      <c r="V41" s="80"/>
      <c r="W41" s="81"/>
      <c r="X41" s="80"/>
      <c r="Y41" s="81"/>
      <c r="Z41" s="80"/>
      <c r="AA41" s="81"/>
      <c r="AB41" s="94"/>
      <c r="AC41" s="95"/>
      <c r="AD41" s="95"/>
      <c r="AE41" s="96"/>
      <c r="AF41" s="94"/>
      <c r="AG41" s="95"/>
      <c r="AH41" s="95"/>
      <c r="AI41" s="106"/>
      <c r="AJ41" s="106"/>
      <c r="AK41" s="106"/>
      <c r="AL41" s="106"/>
      <c r="AM41" s="22" t="str">
        <f t="shared" si="6"/>
        <v/>
      </c>
      <c r="AN41" s="23"/>
      <c r="AO41" s="24"/>
      <c r="AP41" s="63" t="str">
        <f t="shared" si="3"/>
        <v/>
      </c>
      <c r="AQ41" s="25"/>
      <c r="AR41" s="25"/>
      <c r="AS41" s="6" t="str">
        <f t="shared" si="4"/>
        <v/>
      </c>
      <c r="AT41" s="6" t="str">
        <f t="shared" si="5"/>
        <v/>
      </c>
      <c r="AU41" s="6"/>
      <c r="AV41" s="6"/>
      <c r="AW41" s="6"/>
      <c r="AX41" s="6"/>
      <c r="AY41" s="19"/>
    </row>
    <row r="42" spans="1:51" s="20" customFormat="1" ht="15.75">
      <c r="A42" s="21">
        <v>11</v>
      </c>
      <c r="B42" s="22"/>
      <c r="C42" s="22"/>
      <c r="D42" s="22"/>
      <c r="E42" s="105"/>
      <c r="F42" s="105"/>
      <c r="G42" s="105"/>
      <c r="H42" s="105"/>
      <c r="I42" s="105"/>
      <c r="J42" s="105"/>
      <c r="K42" s="99"/>
      <c r="L42" s="100"/>
      <c r="M42" s="100"/>
      <c r="N42" s="101"/>
      <c r="O42" s="94"/>
      <c r="P42" s="95"/>
      <c r="Q42" s="96"/>
      <c r="R42" s="102"/>
      <c r="S42" s="103"/>
      <c r="T42" s="103"/>
      <c r="U42" s="104"/>
      <c r="V42" s="80"/>
      <c r="W42" s="81"/>
      <c r="X42" s="80"/>
      <c r="Y42" s="81"/>
      <c r="Z42" s="80"/>
      <c r="AA42" s="81"/>
      <c r="AB42" s="94"/>
      <c r="AC42" s="95"/>
      <c r="AD42" s="95"/>
      <c r="AE42" s="96"/>
      <c r="AF42" s="94"/>
      <c r="AG42" s="95"/>
      <c r="AH42" s="95"/>
      <c r="AI42" s="106"/>
      <c r="AJ42" s="106"/>
      <c r="AK42" s="106"/>
      <c r="AL42" s="106"/>
      <c r="AM42" s="22" t="str">
        <f t="shared" si="6"/>
        <v/>
      </c>
      <c r="AN42" s="23"/>
      <c r="AO42" s="24"/>
      <c r="AP42" s="63" t="str">
        <f t="shared" si="3"/>
        <v/>
      </c>
      <c r="AQ42" s="25"/>
      <c r="AR42" s="25"/>
      <c r="AS42" s="6" t="str">
        <f t="shared" si="4"/>
        <v/>
      </c>
      <c r="AT42" s="6" t="str">
        <f t="shared" si="5"/>
        <v/>
      </c>
      <c r="AU42" s="6"/>
      <c r="AV42" s="6"/>
      <c r="AW42" s="19"/>
      <c r="AX42" s="19"/>
      <c r="AY42" s="19"/>
    </row>
    <row r="43" spans="1:51" s="20" customFormat="1" ht="15.75">
      <c r="A43" s="21">
        <v>12</v>
      </c>
      <c r="B43" s="22"/>
      <c r="C43" s="22"/>
      <c r="D43" s="22"/>
      <c r="E43" s="105"/>
      <c r="F43" s="105"/>
      <c r="G43" s="105"/>
      <c r="H43" s="105"/>
      <c r="I43" s="105"/>
      <c r="J43" s="105"/>
      <c r="K43" s="99"/>
      <c r="L43" s="100"/>
      <c r="M43" s="100"/>
      <c r="N43" s="101"/>
      <c r="O43" s="94"/>
      <c r="P43" s="95"/>
      <c r="Q43" s="96"/>
      <c r="R43" s="102"/>
      <c r="S43" s="103"/>
      <c r="T43" s="103"/>
      <c r="U43" s="104"/>
      <c r="V43" s="80"/>
      <c r="W43" s="81"/>
      <c r="X43" s="80"/>
      <c r="Y43" s="81"/>
      <c r="Z43" s="80"/>
      <c r="AA43" s="81"/>
      <c r="AB43" s="94"/>
      <c r="AC43" s="95"/>
      <c r="AD43" s="95"/>
      <c r="AE43" s="96"/>
      <c r="AF43" s="94"/>
      <c r="AG43" s="95"/>
      <c r="AH43" s="95"/>
      <c r="AI43" s="106"/>
      <c r="AJ43" s="106"/>
      <c r="AK43" s="106"/>
      <c r="AL43" s="106"/>
      <c r="AM43" s="22" t="str">
        <f t="shared" si="6"/>
        <v/>
      </c>
      <c r="AN43" s="23"/>
      <c r="AO43" s="24"/>
      <c r="AP43" s="63" t="str">
        <f t="shared" si="3"/>
        <v/>
      </c>
      <c r="AQ43" s="25"/>
      <c r="AR43" s="25"/>
      <c r="AS43" s="6" t="str">
        <f t="shared" si="4"/>
        <v/>
      </c>
      <c r="AT43" s="6" t="str">
        <f t="shared" si="5"/>
        <v/>
      </c>
      <c r="AU43" s="6"/>
      <c r="AV43" s="6"/>
      <c r="AW43" s="19"/>
      <c r="AX43" s="19"/>
      <c r="AY43" s="19"/>
    </row>
    <row r="44" spans="1:51" s="20" customFormat="1" ht="15.75">
      <c r="A44" s="21">
        <v>13</v>
      </c>
      <c r="B44" s="22"/>
      <c r="C44" s="22"/>
      <c r="D44" s="22"/>
      <c r="E44" s="105"/>
      <c r="F44" s="105"/>
      <c r="G44" s="105"/>
      <c r="H44" s="105"/>
      <c r="I44" s="105"/>
      <c r="J44" s="105"/>
      <c r="K44" s="99"/>
      <c r="L44" s="100"/>
      <c r="M44" s="100"/>
      <c r="N44" s="101"/>
      <c r="O44" s="94"/>
      <c r="P44" s="95"/>
      <c r="Q44" s="96"/>
      <c r="R44" s="102"/>
      <c r="S44" s="103"/>
      <c r="T44" s="103"/>
      <c r="U44" s="104"/>
      <c r="V44" s="80"/>
      <c r="W44" s="81"/>
      <c r="X44" s="80"/>
      <c r="Y44" s="81"/>
      <c r="Z44" s="80"/>
      <c r="AA44" s="81"/>
      <c r="AB44" s="94"/>
      <c r="AC44" s="95"/>
      <c r="AD44" s="95"/>
      <c r="AE44" s="96"/>
      <c r="AF44" s="94"/>
      <c r="AG44" s="95"/>
      <c r="AH44" s="95"/>
      <c r="AI44" s="106"/>
      <c r="AJ44" s="106"/>
      <c r="AK44" s="106"/>
      <c r="AL44" s="106"/>
      <c r="AM44" s="22" t="str">
        <f t="shared" si="6"/>
        <v/>
      </c>
      <c r="AN44" s="23"/>
      <c r="AO44" s="24"/>
      <c r="AP44" s="63" t="str">
        <f t="shared" si="3"/>
        <v/>
      </c>
      <c r="AQ44" s="25"/>
      <c r="AR44" s="25"/>
      <c r="AS44" s="6" t="str">
        <f t="shared" si="4"/>
        <v/>
      </c>
      <c r="AT44" s="6" t="str">
        <f t="shared" si="5"/>
        <v/>
      </c>
      <c r="AU44" s="6"/>
      <c r="AV44" s="6"/>
      <c r="AW44" s="6"/>
      <c r="AX44" s="19"/>
      <c r="AY44" s="19"/>
    </row>
    <row r="45" spans="1:51" s="20" customFormat="1" ht="15.75">
      <c r="A45" s="21">
        <v>14</v>
      </c>
      <c r="B45" s="22"/>
      <c r="C45" s="22"/>
      <c r="D45" s="22"/>
      <c r="E45" s="105"/>
      <c r="F45" s="105"/>
      <c r="G45" s="105"/>
      <c r="H45" s="105"/>
      <c r="I45" s="105"/>
      <c r="J45" s="105"/>
      <c r="K45" s="99"/>
      <c r="L45" s="100"/>
      <c r="M45" s="100"/>
      <c r="N45" s="101"/>
      <c r="O45" s="94"/>
      <c r="P45" s="95"/>
      <c r="Q45" s="96"/>
      <c r="R45" s="102"/>
      <c r="S45" s="103"/>
      <c r="T45" s="103"/>
      <c r="U45" s="104"/>
      <c r="V45" s="80"/>
      <c r="W45" s="81"/>
      <c r="X45" s="80"/>
      <c r="Y45" s="81"/>
      <c r="Z45" s="80"/>
      <c r="AA45" s="81"/>
      <c r="AB45" s="94"/>
      <c r="AC45" s="95"/>
      <c r="AD45" s="95"/>
      <c r="AE45" s="96"/>
      <c r="AF45" s="94"/>
      <c r="AG45" s="95"/>
      <c r="AH45" s="95"/>
      <c r="AI45" s="106"/>
      <c r="AJ45" s="106"/>
      <c r="AK45" s="106"/>
      <c r="AL45" s="106"/>
      <c r="AM45" s="22" t="str">
        <f t="shared" si="6"/>
        <v/>
      </c>
      <c r="AN45" s="23"/>
      <c r="AO45" s="24"/>
      <c r="AP45" s="63" t="str">
        <f t="shared" si="3"/>
        <v/>
      </c>
      <c r="AQ45" s="25"/>
      <c r="AR45" s="25"/>
      <c r="AS45" s="6" t="str">
        <f t="shared" si="4"/>
        <v/>
      </c>
      <c r="AT45" s="6" t="str">
        <f t="shared" si="5"/>
        <v/>
      </c>
      <c r="AU45" s="6"/>
      <c r="AV45" s="6"/>
      <c r="AW45" s="6"/>
      <c r="AX45" s="19"/>
      <c r="AY45" s="19"/>
    </row>
    <row r="46" spans="1:51" s="20" customFormat="1" ht="15.75">
      <c r="A46" s="21">
        <v>15</v>
      </c>
      <c r="B46" s="22"/>
      <c r="C46" s="22"/>
      <c r="D46" s="22"/>
      <c r="E46" s="94"/>
      <c r="F46" s="95"/>
      <c r="G46" s="95"/>
      <c r="H46" s="95"/>
      <c r="I46" s="95"/>
      <c r="J46" s="96"/>
      <c r="K46" s="99"/>
      <c r="L46" s="100"/>
      <c r="M46" s="100"/>
      <c r="N46" s="101"/>
      <c r="O46" s="94"/>
      <c r="P46" s="95"/>
      <c r="Q46" s="96"/>
      <c r="R46" s="102"/>
      <c r="S46" s="103"/>
      <c r="T46" s="103"/>
      <c r="U46" s="104"/>
      <c r="V46" s="80"/>
      <c r="W46" s="81"/>
      <c r="X46" s="80"/>
      <c r="Y46" s="81"/>
      <c r="Z46" s="80"/>
      <c r="AA46" s="81"/>
      <c r="AB46" s="94"/>
      <c r="AC46" s="95"/>
      <c r="AD46" s="95"/>
      <c r="AE46" s="96"/>
      <c r="AF46" s="94"/>
      <c r="AG46" s="95"/>
      <c r="AH46" s="95"/>
      <c r="AI46" s="106"/>
      <c r="AJ46" s="106"/>
      <c r="AK46" s="106"/>
      <c r="AL46" s="106"/>
      <c r="AM46" s="22" t="str">
        <f t="shared" si="6"/>
        <v/>
      </c>
      <c r="AN46" s="23"/>
      <c r="AO46" s="24"/>
      <c r="AP46" s="63" t="str">
        <f t="shared" si="3"/>
        <v/>
      </c>
      <c r="AQ46" s="25"/>
      <c r="AR46" s="25"/>
      <c r="AS46" s="6" t="str">
        <f t="shared" si="4"/>
        <v/>
      </c>
      <c r="AT46" s="6" t="str">
        <f t="shared" si="5"/>
        <v/>
      </c>
      <c r="AU46" s="6"/>
      <c r="AV46" s="6"/>
      <c r="AW46" s="6"/>
      <c r="AX46" s="19"/>
      <c r="AY46" s="19"/>
    </row>
    <row r="47" spans="1:51" s="20" customFormat="1" ht="15.75">
      <c r="A47" s="21">
        <v>16</v>
      </c>
      <c r="B47" s="22"/>
      <c r="C47" s="22"/>
      <c r="D47" s="22"/>
      <c r="E47" s="105"/>
      <c r="F47" s="105"/>
      <c r="G47" s="105"/>
      <c r="H47" s="105"/>
      <c r="I47" s="105"/>
      <c r="J47" s="105"/>
      <c r="K47" s="99"/>
      <c r="L47" s="100"/>
      <c r="M47" s="100"/>
      <c r="N47" s="101"/>
      <c r="O47" s="94"/>
      <c r="P47" s="95"/>
      <c r="Q47" s="96"/>
      <c r="R47" s="102"/>
      <c r="S47" s="103"/>
      <c r="T47" s="103"/>
      <c r="U47" s="104"/>
      <c r="V47" s="80"/>
      <c r="W47" s="81"/>
      <c r="X47" s="80"/>
      <c r="Y47" s="81"/>
      <c r="Z47" s="80"/>
      <c r="AA47" s="81"/>
      <c r="AB47" s="94"/>
      <c r="AC47" s="95"/>
      <c r="AD47" s="95"/>
      <c r="AE47" s="96"/>
      <c r="AF47" s="94"/>
      <c r="AG47" s="95"/>
      <c r="AH47" s="95"/>
      <c r="AI47" s="106"/>
      <c r="AJ47" s="106"/>
      <c r="AK47" s="106"/>
      <c r="AL47" s="106"/>
      <c r="AM47" s="22" t="str">
        <f t="shared" si="6"/>
        <v/>
      </c>
      <c r="AN47" s="23"/>
      <c r="AO47" s="24"/>
      <c r="AP47" s="63" t="str">
        <f t="shared" si="3"/>
        <v/>
      </c>
      <c r="AQ47" s="25"/>
      <c r="AR47" s="25"/>
      <c r="AS47" s="6" t="str">
        <f t="shared" si="4"/>
        <v/>
      </c>
      <c r="AT47" s="6" t="str">
        <f t="shared" si="5"/>
        <v/>
      </c>
      <c r="AU47" s="6"/>
      <c r="AV47" s="6"/>
      <c r="AW47" s="6"/>
      <c r="AX47" s="6"/>
      <c r="AY47" s="19"/>
    </row>
    <row r="48" spans="1:51" s="20" customFormat="1" ht="15.75">
      <c r="A48" s="21">
        <v>17</v>
      </c>
      <c r="B48" s="22"/>
      <c r="C48" s="22"/>
      <c r="D48" s="22"/>
      <c r="E48" s="105"/>
      <c r="F48" s="105"/>
      <c r="G48" s="105"/>
      <c r="H48" s="105"/>
      <c r="I48" s="105"/>
      <c r="J48" s="105"/>
      <c r="K48" s="99"/>
      <c r="L48" s="100"/>
      <c r="M48" s="100"/>
      <c r="N48" s="101"/>
      <c r="O48" s="94"/>
      <c r="P48" s="95"/>
      <c r="Q48" s="96"/>
      <c r="R48" s="102"/>
      <c r="S48" s="103"/>
      <c r="T48" s="103"/>
      <c r="U48" s="104"/>
      <c r="V48" s="80"/>
      <c r="W48" s="81"/>
      <c r="X48" s="80"/>
      <c r="Y48" s="81"/>
      <c r="Z48" s="80"/>
      <c r="AA48" s="81"/>
      <c r="AB48" s="94"/>
      <c r="AC48" s="95"/>
      <c r="AD48" s="95"/>
      <c r="AE48" s="96"/>
      <c r="AF48" s="94"/>
      <c r="AG48" s="95"/>
      <c r="AH48" s="95"/>
      <c r="AI48" s="106"/>
      <c r="AJ48" s="106"/>
      <c r="AK48" s="106"/>
      <c r="AL48" s="106"/>
      <c r="AM48" s="22" t="str">
        <f t="shared" si="6"/>
        <v/>
      </c>
      <c r="AN48" s="23"/>
      <c r="AO48" s="24"/>
      <c r="AP48" s="63" t="str">
        <f t="shared" si="3"/>
        <v/>
      </c>
      <c r="AQ48" s="25"/>
      <c r="AR48" s="25"/>
      <c r="AS48" s="6" t="str">
        <f t="shared" si="4"/>
        <v/>
      </c>
      <c r="AT48" s="6" t="str">
        <f t="shared" si="5"/>
        <v/>
      </c>
      <c r="AU48" s="6"/>
      <c r="AV48" s="6"/>
      <c r="AW48" s="19"/>
      <c r="AX48" s="19"/>
      <c r="AY48" s="19"/>
    </row>
    <row r="49" spans="1:53" s="20" customFormat="1" ht="15.75">
      <c r="A49" s="21">
        <v>18</v>
      </c>
      <c r="B49" s="22"/>
      <c r="C49" s="22"/>
      <c r="D49" s="22"/>
      <c r="E49" s="105"/>
      <c r="F49" s="105"/>
      <c r="G49" s="105"/>
      <c r="H49" s="105"/>
      <c r="I49" s="105"/>
      <c r="J49" s="105"/>
      <c r="K49" s="99"/>
      <c r="L49" s="100"/>
      <c r="M49" s="100"/>
      <c r="N49" s="101"/>
      <c r="O49" s="94"/>
      <c r="P49" s="95"/>
      <c r="Q49" s="96"/>
      <c r="R49" s="102"/>
      <c r="S49" s="103"/>
      <c r="T49" s="103"/>
      <c r="U49" s="104"/>
      <c r="V49" s="80"/>
      <c r="W49" s="81"/>
      <c r="X49" s="80"/>
      <c r="Y49" s="81"/>
      <c r="Z49" s="80"/>
      <c r="AA49" s="81"/>
      <c r="AB49" s="94"/>
      <c r="AC49" s="95"/>
      <c r="AD49" s="95"/>
      <c r="AE49" s="96"/>
      <c r="AF49" s="94"/>
      <c r="AG49" s="95"/>
      <c r="AH49" s="95"/>
      <c r="AI49" s="106"/>
      <c r="AJ49" s="106"/>
      <c r="AK49" s="106"/>
      <c r="AL49" s="106"/>
      <c r="AM49" s="22" t="str">
        <f t="shared" si="6"/>
        <v/>
      </c>
      <c r="AN49" s="23"/>
      <c r="AO49" s="24"/>
      <c r="AP49" s="63" t="str">
        <f t="shared" ref="AP49:AP80" si="7">IF(2&lt;=COUNTIF(E:E,E49),"・事業者名：重複","")&amp;IF(AND(E49&lt;&gt;"",R49=""),"・業種：未選択","")&amp;IF(AND(E49&lt;&gt;"",X49=""),"・従業員数：未入力","")</f>
        <v/>
      </c>
      <c r="AQ49" s="25"/>
      <c r="AR49" s="25"/>
      <c r="AS49" s="6" t="str">
        <f t="shared" si="4"/>
        <v/>
      </c>
      <c r="AT49" s="6" t="str">
        <f t="shared" si="5"/>
        <v/>
      </c>
      <c r="AU49" s="6"/>
      <c r="AV49" s="6"/>
      <c r="AW49" s="19"/>
      <c r="AX49" s="19"/>
      <c r="AY49" s="19"/>
    </row>
    <row r="50" spans="1:53" s="20" customFormat="1" ht="15.75">
      <c r="A50" s="21">
        <v>19</v>
      </c>
      <c r="B50" s="22"/>
      <c r="C50" s="22"/>
      <c r="D50" s="22"/>
      <c r="E50" s="105"/>
      <c r="F50" s="105"/>
      <c r="G50" s="105"/>
      <c r="H50" s="105"/>
      <c r="I50" s="105"/>
      <c r="J50" s="105"/>
      <c r="K50" s="99"/>
      <c r="L50" s="100"/>
      <c r="M50" s="100"/>
      <c r="N50" s="101"/>
      <c r="O50" s="94"/>
      <c r="P50" s="95"/>
      <c r="Q50" s="96"/>
      <c r="R50" s="102"/>
      <c r="S50" s="103"/>
      <c r="T50" s="103"/>
      <c r="U50" s="104"/>
      <c r="V50" s="80"/>
      <c r="W50" s="81"/>
      <c r="X50" s="80"/>
      <c r="Y50" s="81"/>
      <c r="Z50" s="80"/>
      <c r="AA50" s="81"/>
      <c r="AB50" s="94"/>
      <c r="AC50" s="95"/>
      <c r="AD50" s="95"/>
      <c r="AE50" s="96"/>
      <c r="AF50" s="94"/>
      <c r="AG50" s="95"/>
      <c r="AH50" s="95"/>
      <c r="AI50" s="106"/>
      <c r="AJ50" s="106"/>
      <c r="AK50" s="106"/>
      <c r="AL50" s="106"/>
      <c r="AM50" s="22" t="str">
        <f t="shared" si="6"/>
        <v/>
      </c>
      <c r="AN50" s="23"/>
      <c r="AO50" s="24"/>
      <c r="AP50" s="63" t="str">
        <f t="shared" si="7"/>
        <v/>
      </c>
      <c r="AQ50" s="25"/>
      <c r="AR50" s="25"/>
      <c r="AS50" s="6" t="str">
        <f t="shared" si="4"/>
        <v/>
      </c>
      <c r="AT50" s="6" t="str">
        <f t="shared" si="5"/>
        <v/>
      </c>
      <c r="AU50" s="6"/>
      <c r="AV50" s="6"/>
      <c r="AW50" s="6"/>
      <c r="AX50" s="6"/>
      <c r="AY50" s="6"/>
    </row>
    <row r="51" spans="1:53" s="20" customFormat="1" ht="15.75">
      <c r="A51" s="21">
        <v>20</v>
      </c>
      <c r="B51" s="22"/>
      <c r="C51" s="22"/>
      <c r="D51" s="22"/>
      <c r="E51" s="105"/>
      <c r="F51" s="105"/>
      <c r="G51" s="105"/>
      <c r="H51" s="105"/>
      <c r="I51" s="105"/>
      <c r="J51" s="105"/>
      <c r="K51" s="99"/>
      <c r="L51" s="100"/>
      <c r="M51" s="100"/>
      <c r="N51" s="101"/>
      <c r="O51" s="94"/>
      <c r="P51" s="95"/>
      <c r="Q51" s="96"/>
      <c r="R51" s="102"/>
      <c r="S51" s="103"/>
      <c r="T51" s="103"/>
      <c r="U51" s="104"/>
      <c r="V51" s="80"/>
      <c r="W51" s="81"/>
      <c r="X51" s="80"/>
      <c r="Y51" s="81"/>
      <c r="Z51" s="80"/>
      <c r="AA51" s="81"/>
      <c r="AB51" s="94"/>
      <c r="AC51" s="95"/>
      <c r="AD51" s="95"/>
      <c r="AE51" s="96"/>
      <c r="AF51" s="94"/>
      <c r="AG51" s="95"/>
      <c r="AH51" s="95"/>
      <c r="AI51" s="106"/>
      <c r="AJ51" s="106"/>
      <c r="AK51" s="106"/>
      <c r="AL51" s="106"/>
      <c r="AM51" s="22" t="str">
        <f t="shared" si="6"/>
        <v/>
      </c>
      <c r="AN51" s="23"/>
      <c r="AO51" s="24"/>
      <c r="AP51" s="63" t="str">
        <f t="shared" si="7"/>
        <v/>
      </c>
      <c r="AQ51" s="25"/>
      <c r="AR51" s="25"/>
      <c r="AS51" s="6" t="str">
        <f t="shared" si="4"/>
        <v/>
      </c>
      <c r="AT51" s="6" t="str">
        <f t="shared" si="5"/>
        <v/>
      </c>
      <c r="AU51" s="6"/>
      <c r="AV51" s="6"/>
      <c r="AW51" s="6"/>
      <c r="AX51" s="6"/>
      <c r="AY51" s="6"/>
    </row>
    <row r="52" spans="1:53" s="20" customFormat="1" ht="15.75">
      <c r="A52" s="21">
        <v>21</v>
      </c>
      <c r="B52" s="22"/>
      <c r="C52" s="22"/>
      <c r="D52" s="22"/>
      <c r="E52" s="105"/>
      <c r="F52" s="105"/>
      <c r="G52" s="105"/>
      <c r="H52" s="105"/>
      <c r="I52" s="105"/>
      <c r="J52" s="105"/>
      <c r="K52" s="99"/>
      <c r="L52" s="100"/>
      <c r="M52" s="100"/>
      <c r="N52" s="101"/>
      <c r="O52" s="94"/>
      <c r="P52" s="95"/>
      <c r="Q52" s="96"/>
      <c r="R52" s="102"/>
      <c r="S52" s="103"/>
      <c r="T52" s="103"/>
      <c r="U52" s="104"/>
      <c r="V52" s="80"/>
      <c r="W52" s="81"/>
      <c r="X52" s="80"/>
      <c r="Y52" s="81"/>
      <c r="Z52" s="80"/>
      <c r="AA52" s="81"/>
      <c r="AB52" s="94"/>
      <c r="AC52" s="95"/>
      <c r="AD52" s="95"/>
      <c r="AE52" s="96"/>
      <c r="AF52" s="94"/>
      <c r="AG52" s="95"/>
      <c r="AH52" s="95"/>
      <c r="AI52" s="106"/>
      <c r="AJ52" s="106"/>
      <c r="AK52" s="106"/>
      <c r="AL52" s="106"/>
      <c r="AM52" s="22" t="str">
        <f t="shared" si="6"/>
        <v/>
      </c>
      <c r="AN52" s="23"/>
      <c r="AO52" s="24"/>
      <c r="AP52" s="63" t="str">
        <f t="shared" si="7"/>
        <v/>
      </c>
      <c r="AQ52" s="25"/>
      <c r="AR52" s="25"/>
      <c r="AS52" s="6" t="str">
        <f t="shared" si="4"/>
        <v/>
      </c>
      <c r="AT52" s="6" t="str">
        <f t="shared" si="5"/>
        <v/>
      </c>
      <c r="AU52" s="6"/>
      <c r="AV52" s="6"/>
      <c r="AW52" s="6"/>
      <c r="AX52" s="6"/>
      <c r="AY52" s="6"/>
    </row>
    <row r="53" spans="1:53" s="20" customFormat="1" ht="15.75">
      <c r="A53" s="21">
        <v>22</v>
      </c>
      <c r="B53" s="22"/>
      <c r="C53" s="22"/>
      <c r="D53" s="22"/>
      <c r="E53" s="105"/>
      <c r="F53" s="105"/>
      <c r="G53" s="105"/>
      <c r="H53" s="105"/>
      <c r="I53" s="105"/>
      <c r="J53" s="105"/>
      <c r="K53" s="99"/>
      <c r="L53" s="100"/>
      <c r="M53" s="100"/>
      <c r="N53" s="101"/>
      <c r="O53" s="94"/>
      <c r="P53" s="95"/>
      <c r="Q53" s="96"/>
      <c r="R53" s="102"/>
      <c r="S53" s="103"/>
      <c r="T53" s="103"/>
      <c r="U53" s="104"/>
      <c r="V53" s="80"/>
      <c r="W53" s="81"/>
      <c r="X53" s="80"/>
      <c r="Y53" s="81"/>
      <c r="Z53" s="80"/>
      <c r="AA53" s="81"/>
      <c r="AB53" s="94"/>
      <c r="AC53" s="95"/>
      <c r="AD53" s="95"/>
      <c r="AE53" s="96"/>
      <c r="AF53" s="94"/>
      <c r="AG53" s="95"/>
      <c r="AH53" s="95"/>
      <c r="AI53" s="106"/>
      <c r="AJ53" s="106"/>
      <c r="AK53" s="106"/>
      <c r="AL53" s="106"/>
      <c r="AM53" s="22" t="str">
        <f t="shared" si="6"/>
        <v/>
      </c>
      <c r="AN53" s="23"/>
      <c r="AO53" s="24"/>
      <c r="AP53" s="63" t="str">
        <f t="shared" si="7"/>
        <v/>
      </c>
      <c r="AQ53" s="25"/>
      <c r="AR53" s="25"/>
      <c r="AS53" s="6" t="str">
        <f t="shared" si="4"/>
        <v/>
      </c>
      <c r="AT53" s="6" t="str">
        <f t="shared" si="5"/>
        <v/>
      </c>
      <c r="AU53" s="6"/>
      <c r="AV53" s="6"/>
      <c r="AW53" s="6"/>
      <c r="AX53" s="6"/>
      <c r="AY53" s="6"/>
    </row>
    <row r="54" spans="1:53" s="20" customFormat="1" ht="15.75">
      <c r="A54" s="21">
        <v>23</v>
      </c>
      <c r="B54" s="22"/>
      <c r="C54" s="22"/>
      <c r="D54" s="22"/>
      <c r="E54" s="105"/>
      <c r="F54" s="105"/>
      <c r="G54" s="105"/>
      <c r="H54" s="105"/>
      <c r="I54" s="105"/>
      <c r="J54" s="105"/>
      <c r="K54" s="99"/>
      <c r="L54" s="100"/>
      <c r="M54" s="100"/>
      <c r="N54" s="101"/>
      <c r="O54" s="94"/>
      <c r="P54" s="95"/>
      <c r="Q54" s="96"/>
      <c r="R54" s="102"/>
      <c r="S54" s="103"/>
      <c r="T54" s="103"/>
      <c r="U54" s="104"/>
      <c r="V54" s="80"/>
      <c r="W54" s="81"/>
      <c r="X54" s="80"/>
      <c r="Y54" s="81"/>
      <c r="Z54" s="80"/>
      <c r="AA54" s="81"/>
      <c r="AB54" s="94"/>
      <c r="AC54" s="95"/>
      <c r="AD54" s="95"/>
      <c r="AE54" s="96"/>
      <c r="AF54" s="94"/>
      <c r="AG54" s="95"/>
      <c r="AH54" s="95"/>
      <c r="AI54" s="106"/>
      <c r="AJ54" s="106"/>
      <c r="AK54" s="106"/>
      <c r="AL54" s="106"/>
      <c r="AM54" s="22" t="str">
        <f t="shared" si="6"/>
        <v/>
      </c>
      <c r="AN54" s="23"/>
      <c r="AO54" s="24"/>
      <c r="AP54" s="63" t="str">
        <f t="shared" si="7"/>
        <v/>
      </c>
      <c r="AQ54" s="25"/>
      <c r="AR54" s="25"/>
      <c r="AS54" s="6" t="str">
        <f t="shared" si="4"/>
        <v/>
      </c>
      <c r="AT54" s="6" t="str">
        <f t="shared" si="5"/>
        <v/>
      </c>
      <c r="AU54" s="6"/>
      <c r="AV54" s="6"/>
      <c r="AW54" s="6"/>
      <c r="AX54" s="6"/>
      <c r="AY54" s="6"/>
    </row>
    <row r="55" spans="1:53" s="20" customFormat="1" ht="15.75">
      <c r="A55" s="21">
        <v>24</v>
      </c>
      <c r="B55" s="22"/>
      <c r="C55" s="22"/>
      <c r="D55" s="22"/>
      <c r="E55" s="105"/>
      <c r="F55" s="105"/>
      <c r="G55" s="105"/>
      <c r="H55" s="105"/>
      <c r="I55" s="105"/>
      <c r="J55" s="105"/>
      <c r="K55" s="99"/>
      <c r="L55" s="100"/>
      <c r="M55" s="100"/>
      <c r="N55" s="101"/>
      <c r="O55" s="94"/>
      <c r="P55" s="95"/>
      <c r="Q55" s="96"/>
      <c r="R55" s="102"/>
      <c r="S55" s="103"/>
      <c r="T55" s="103"/>
      <c r="U55" s="104"/>
      <c r="V55" s="80"/>
      <c r="W55" s="81"/>
      <c r="X55" s="80"/>
      <c r="Y55" s="81"/>
      <c r="Z55" s="80"/>
      <c r="AA55" s="81"/>
      <c r="AB55" s="94"/>
      <c r="AC55" s="95"/>
      <c r="AD55" s="95"/>
      <c r="AE55" s="96"/>
      <c r="AF55" s="94"/>
      <c r="AG55" s="95"/>
      <c r="AH55" s="95"/>
      <c r="AI55" s="106"/>
      <c r="AJ55" s="106"/>
      <c r="AK55" s="106"/>
      <c r="AL55" s="106"/>
      <c r="AM55" s="22" t="str">
        <f t="shared" si="6"/>
        <v/>
      </c>
      <c r="AN55" s="23"/>
      <c r="AO55" s="24"/>
      <c r="AP55" s="63" t="str">
        <f t="shared" si="7"/>
        <v/>
      </c>
      <c r="AQ55" s="25"/>
      <c r="AR55" s="25"/>
      <c r="AS55" s="6" t="str">
        <f t="shared" si="4"/>
        <v/>
      </c>
      <c r="AT55" s="6" t="str">
        <f t="shared" si="5"/>
        <v/>
      </c>
      <c r="AU55" s="6"/>
      <c r="AV55" s="6"/>
      <c r="AW55" s="6"/>
      <c r="AX55" s="6"/>
      <c r="AY55" s="6"/>
    </row>
    <row r="56" spans="1:53" s="20" customFormat="1" ht="15.75">
      <c r="A56" s="21">
        <v>25</v>
      </c>
      <c r="B56" s="22"/>
      <c r="C56" s="22"/>
      <c r="D56" s="22"/>
      <c r="E56" s="105"/>
      <c r="F56" s="105"/>
      <c r="G56" s="105"/>
      <c r="H56" s="105"/>
      <c r="I56" s="105"/>
      <c r="J56" s="105"/>
      <c r="K56" s="99"/>
      <c r="L56" s="100"/>
      <c r="M56" s="100"/>
      <c r="N56" s="101"/>
      <c r="O56" s="94"/>
      <c r="P56" s="95"/>
      <c r="Q56" s="96"/>
      <c r="R56" s="102"/>
      <c r="S56" s="103"/>
      <c r="T56" s="103"/>
      <c r="U56" s="104"/>
      <c r="V56" s="80"/>
      <c r="W56" s="81"/>
      <c r="X56" s="80"/>
      <c r="Y56" s="81"/>
      <c r="Z56" s="80"/>
      <c r="AA56" s="81"/>
      <c r="AB56" s="94"/>
      <c r="AC56" s="95"/>
      <c r="AD56" s="95"/>
      <c r="AE56" s="96"/>
      <c r="AF56" s="94"/>
      <c r="AG56" s="95"/>
      <c r="AH56" s="95"/>
      <c r="AI56" s="106"/>
      <c r="AJ56" s="106"/>
      <c r="AK56" s="106"/>
      <c r="AL56" s="106"/>
      <c r="AM56" s="22" t="str">
        <f t="shared" si="6"/>
        <v/>
      </c>
      <c r="AN56" s="23"/>
      <c r="AO56" s="24"/>
      <c r="AP56" s="63" t="str">
        <f t="shared" si="7"/>
        <v/>
      </c>
      <c r="AQ56" s="25"/>
      <c r="AR56" s="25"/>
      <c r="AS56" s="6" t="str">
        <f t="shared" si="4"/>
        <v/>
      </c>
      <c r="AT56" s="6" t="str">
        <f t="shared" si="5"/>
        <v/>
      </c>
      <c r="AU56" s="6"/>
      <c r="AV56" s="6"/>
      <c r="AW56" s="6"/>
      <c r="AX56" s="6"/>
      <c r="AY56" s="6"/>
    </row>
    <row r="57" spans="1:53" s="20" customFormat="1" ht="15.75">
      <c r="A57" s="21">
        <v>26</v>
      </c>
      <c r="B57" s="22"/>
      <c r="C57" s="22"/>
      <c r="D57" s="22"/>
      <c r="E57" s="105"/>
      <c r="F57" s="105"/>
      <c r="G57" s="105"/>
      <c r="H57" s="105"/>
      <c r="I57" s="105"/>
      <c r="J57" s="105"/>
      <c r="K57" s="99"/>
      <c r="L57" s="100"/>
      <c r="M57" s="100"/>
      <c r="N57" s="101"/>
      <c r="O57" s="94"/>
      <c r="P57" s="95"/>
      <c r="Q57" s="96"/>
      <c r="R57" s="102"/>
      <c r="S57" s="103"/>
      <c r="T57" s="103"/>
      <c r="U57" s="104"/>
      <c r="V57" s="80"/>
      <c r="W57" s="81"/>
      <c r="X57" s="80"/>
      <c r="Y57" s="81"/>
      <c r="Z57" s="80"/>
      <c r="AA57" s="81"/>
      <c r="AB57" s="94"/>
      <c r="AC57" s="95"/>
      <c r="AD57" s="95"/>
      <c r="AE57" s="96"/>
      <c r="AF57" s="94"/>
      <c r="AG57" s="95"/>
      <c r="AH57" s="95"/>
      <c r="AI57" s="106"/>
      <c r="AJ57" s="106"/>
      <c r="AK57" s="106"/>
      <c r="AL57" s="106"/>
      <c r="AM57" s="22" t="str">
        <f t="shared" si="6"/>
        <v/>
      </c>
      <c r="AN57" s="23"/>
      <c r="AO57" s="24"/>
      <c r="AP57" s="63" t="str">
        <f t="shared" si="7"/>
        <v/>
      </c>
      <c r="AQ57" s="25"/>
      <c r="AR57" s="25"/>
      <c r="AS57" s="6" t="str">
        <f t="shared" si="4"/>
        <v/>
      </c>
      <c r="AT57" s="6" t="str">
        <f t="shared" si="5"/>
        <v/>
      </c>
      <c r="AU57" s="6"/>
      <c r="AV57" s="6"/>
      <c r="AW57" s="6"/>
      <c r="AX57" s="6"/>
      <c r="AY57" s="6"/>
    </row>
    <row r="58" spans="1:53" s="38" customFormat="1" ht="15.75">
      <c r="A58" s="21">
        <v>27</v>
      </c>
      <c r="B58" s="22"/>
      <c r="C58" s="22"/>
      <c r="D58" s="22"/>
      <c r="E58" s="105"/>
      <c r="F58" s="105"/>
      <c r="G58" s="105"/>
      <c r="H58" s="105"/>
      <c r="I58" s="105"/>
      <c r="J58" s="105"/>
      <c r="K58" s="99"/>
      <c r="L58" s="100"/>
      <c r="M58" s="100"/>
      <c r="N58" s="101"/>
      <c r="O58" s="94"/>
      <c r="P58" s="95"/>
      <c r="Q58" s="96"/>
      <c r="R58" s="102"/>
      <c r="S58" s="103"/>
      <c r="T58" s="103"/>
      <c r="U58" s="104"/>
      <c r="V58" s="80"/>
      <c r="W58" s="81"/>
      <c r="X58" s="80"/>
      <c r="Y58" s="81"/>
      <c r="Z58" s="80"/>
      <c r="AA58" s="81"/>
      <c r="AB58" s="94"/>
      <c r="AC58" s="95"/>
      <c r="AD58" s="95"/>
      <c r="AE58" s="96"/>
      <c r="AF58" s="94"/>
      <c r="AG58" s="95"/>
      <c r="AH58" s="95"/>
      <c r="AI58" s="106"/>
      <c r="AJ58" s="106"/>
      <c r="AK58" s="106"/>
      <c r="AL58" s="106"/>
      <c r="AM58" s="22" t="str">
        <f t="shared" si="6"/>
        <v/>
      </c>
      <c r="AN58" s="23"/>
      <c r="AO58" s="24"/>
      <c r="AP58" s="63" t="str">
        <f t="shared" si="7"/>
        <v/>
      </c>
      <c r="AQ58" s="25"/>
      <c r="AR58" s="25"/>
      <c r="AS58" s="6" t="str">
        <f t="shared" si="4"/>
        <v/>
      </c>
      <c r="AT58" s="6" t="str">
        <f t="shared" si="5"/>
        <v/>
      </c>
      <c r="AU58" s="6"/>
      <c r="AV58" s="6"/>
      <c r="AW58" s="6"/>
      <c r="AX58" s="6"/>
      <c r="AY58" s="6"/>
      <c r="AZ58" s="20"/>
      <c r="BA58" s="20"/>
    </row>
    <row r="59" spans="1:53" s="38" customFormat="1" ht="15.75">
      <c r="A59" s="21">
        <v>28</v>
      </c>
      <c r="B59" s="22"/>
      <c r="C59" s="22"/>
      <c r="D59" s="22"/>
      <c r="E59" s="105"/>
      <c r="F59" s="105"/>
      <c r="G59" s="105"/>
      <c r="H59" s="105"/>
      <c r="I59" s="105"/>
      <c r="J59" s="105"/>
      <c r="K59" s="99"/>
      <c r="L59" s="100"/>
      <c r="M59" s="100"/>
      <c r="N59" s="101"/>
      <c r="O59" s="94"/>
      <c r="P59" s="95"/>
      <c r="Q59" s="96"/>
      <c r="R59" s="102"/>
      <c r="S59" s="103"/>
      <c r="T59" s="103"/>
      <c r="U59" s="104"/>
      <c r="V59" s="80"/>
      <c r="W59" s="81"/>
      <c r="X59" s="80"/>
      <c r="Y59" s="81"/>
      <c r="Z59" s="80"/>
      <c r="AA59" s="81"/>
      <c r="AB59" s="94"/>
      <c r="AC59" s="95"/>
      <c r="AD59" s="95"/>
      <c r="AE59" s="96"/>
      <c r="AF59" s="94"/>
      <c r="AG59" s="95"/>
      <c r="AH59" s="95"/>
      <c r="AI59" s="106"/>
      <c r="AJ59" s="106"/>
      <c r="AK59" s="106"/>
      <c r="AL59" s="106"/>
      <c r="AM59" s="22" t="str">
        <f t="shared" si="6"/>
        <v/>
      </c>
      <c r="AN59" s="23"/>
      <c r="AO59" s="24"/>
      <c r="AP59" s="63" t="str">
        <f t="shared" si="7"/>
        <v/>
      </c>
      <c r="AQ59" s="25"/>
      <c r="AR59" s="25"/>
      <c r="AS59" s="6" t="str">
        <f t="shared" si="4"/>
        <v/>
      </c>
      <c r="AT59" s="6" t="str">
        <f t="shared" si="5"/>
        <v/>
      </c>
      <c r="AU59" s="6"/>
      <c r="AV59" s="6"/>
      <c r="AW59" s="6"/>
      <c r="AX59" s="6"/>
      <c r="AY59" s="6"/>
      <c r="AZ59" s="20"/>
      <c r="BA59" s="20"/>
    </row>
    <row r="60" spans="1:53" s="38" customFormat="1" ht="15.75">
      <c r="A60" s="21">
        <v>29</v>
      </c>
      <c r="B60" s="22"/>
      <c r="C60" s="22"/>
      <c r="D60" s="22"/>
      <c r="E60" s="105"/>
      <c r="F60" s="105"/>
      <c r="G60" s="105"/>
      <c r="H60" s="105"/>
      <c r="I60" s="105"/>
      <c r="J60" s="105"/>
      <c r="K60" s="99"/>
      <c r="L60" s="100"/>
      <c r="M60" s="100"/>
      <c r="N60" s="101"/>
      <c r="O60" s="94"/>
      <c r="P60" s="95"/>
      <c r="Q60" s="96"/>
      <c r="R60" s="102"/>
      <c r="S60" s="103"/>
      <c r="T60" s="103"/>
      <c r="U60" s="104"/>
      <c r="V60" s="80"/>
      <c r="W60" s="81"/>
      <c r="X60" s="80"/>
      <c r="Y60" s="81"/>
      <c r="Z60" s="80"/>
      <c r="AA60" s="81"/>
      <c r="AB60" s="94"/>
      <c r="AC60" s="95"/>
      <c r="AD60" s="95"/>
      <c r="AE60" s="96"/>
      <c r="AF60" s="94"/>
      <c r="AG60" s="95"/>
      <c r="AH60" s="95"/>
      <c r="AI60" s="106"/>
      <c r="AJ60" s="106"/>
      <c r="AK60" s="106"/>
      <c r="AL60" s="106"/>
      <c r="AM60" s="22" t="str">
        <f t="shared" si="6"/>
        <v/>
      </c>
      <c r="AN60" s="23"/>
      <c r="AO60" s="24"/>
      <c r="AP60" s="63" t="str">
        <f t="shared" si="7"/>
        <v/>
      </c>
      <c r="AQ60" s="25"/>
      <c r="AR60" s="25"/>
      <c r="AS60" s="6" t="str">
        <f t="shared" si="4"/>
        <v/>
      </c>
      <c r="AT60" s="6" t="str">
        <f t="shared" si="5"/>
        <v/>
      </c>
      <c r="AU60" s="6"/>
      <c r="AV60" s="6"/>
      <c r="AW60" s="6"/>
      <c r="AX60" s="6"/>
      <c r="AY60" s="6"/>
      <c r="AZ60" s="20"/>
      <c r="BA60" s="20"/>
    </row>
    <row r="61" spans="1:53" s="38" customFormat="1" ht="15.75">
      <c r="A61" s="21">
        <v>30</v>
      </c>
      <c r="B61" s="22"/>
      <c r="C61" s="22"/>
      <c r="D61" s="22"/>
      <c r="E61" s="105"/>
      <c r="F61" s="105"/>
      <c r="G61" s="105"/>
      <c r="H61" s="105"/>
      <c r="I61" s="105"/>
      <c r="J61" s="105"/>
      <c r="K61" s="99"/>
      <c r="L61" s="100"/>
      <c r="M61" s="100"/>
      <c r="N61" s="101"/>
      <c r="O61" s="94"/>
      <c r="P61" s="95"/>
      <c r="Q61" s="96"/>
      <c r="R61" s="102"/>
      <c r="S61" s="103"/>
      <c r="T61" s="103"/>
      <c r="U61" s="104"/>
      <c r="V61" s="80"/>
      <c r="W61" s="81"/>
      <c r="X61" s="80"/>
      <c r="Y61" s="81"/>
      <c r="Z61" s="80"/>
      <c r="AA61" s="81"/>
      <c r="AB61" s="94"/>
      <c r="AC61" s="95"/>
      <c r="AD61" s="95"/>
      <c r="AE61" s="96"/>
      <c r="AF61" s="94"/>
      <c r="AG61" s="95"/>
      <c r="AH61" s="95"/>
      <c r="AI61" s="106"/>
      <c r="AJ61" s="106"/>
      <c r="AK61" s="106"/>
      <c r="AL61" s="106"/>
      <c r="AM61" s="22" t="str">
        <f t="shared" si="6"/>
        <v/>
      </c>
      <c r="AN61" s="23"/>
      <c r="AO61" s="24"/>
      <c r="AP61" s="63" t="str">
        <f t="shared" si="7"/>
        <v/>
      </c>
      <c r="AQ61" s="25"/>
      <c r="AR61" s="25"/>
      <c r="AS61" s="6" t="str">
        <f t="shared" si="4"/>
        <v/>
      </c>
      <c r="AT61" s="6" t="str">
        <f t="shared" si="5"/>
        <v/>
      </c>
      <c r="AU61" s="6"/>
      <c r="AV61" s="6"/>
      <c r="AW61" s="6"/>
      <c r="AX61" s="6"/>
      <c r="AY61" s="6"/>
      <c r="AZ61" s="20"/>
      <c r="BA61" s="20"/>
    </row>
    <row r="62" spans="1:53" s="38" customFormat="1" ht="15.75">
      <c r="A62" s="21">
        <v>31</v>
      </c>
      <c r="B62" s="22"/>
      <c r="C62" s="22"/>
      <c r="D62" s="22"/>
      <c r="E62" s="105"/>
      <c r="F62" s="105"/>
      <c r="G62" s="105"/>
      <c r="H62" s="105"/>
      <c r="I62" s="105"/>
      <c r="J62" s="105"/>
      <c r="K62" s="99"/>
      <c r="L62" s="100"/>
      <c r="M62" s="100"/>
      <c r="N62" s="101"/>
      <c r="O62" s="94"/>
      <c r="P62" s="95"/>
      <c r="Q62" s="96"/>
      <c r="R62" s="102"/>
      <c r="S62" s="103"/>
      <c r="T62" s="103"/>
      <c r="U62" s="104"/>
      <c r="V62" s="80"/>
      <c r="W62" s="81"/>
      <c r="X62" s="80"/>
      <c r="Y62" s="81"/>
      <c r="Z62" s="80"/>
      <c r="AA62" s="81"/>
      <c r="AB62" s="94"/>
      <c r="AC62" s="95"/>
      <c r="AD62" s="95"/>
      <c r="AE62" s="96"/>
      <c r="AF62" s="94"/>
      <c r="AG62" s="95"/>
      <c r="AH62" s="95"/>
      <c r="AI62" s="106"/>
      <c r="AJ62" s="106"/>
      <c r="AK62" s="106"/>
      <c r="AL62" s="106"/>
      <c r="AM62" s="22" t="str">
        <f t="shared" si="6"/>
        <v/>
      </c>
      <c r="AN62" s="23"/>
      <c r="AO62" s="24"/>
      <c r="AP62" s="63" t="str">
        <f t="shared" si="7"/>
        <v/>
      </c>
      <c r="AQ62" s="25"/>
      <c r="AR62" s="25"/>
      <c r="AS62" s="6" t="str">
        <f t="shared" si="4"/>
        <v/>
      </c>
      <c r="AT62" s="6" t="str">
        <f t="shared" si="5"/>
        <v/>
      </c>
      <c r="AU62" s="6"/>
      <c r="AV62" s="6"/>
      <c r="AW62" s="6"/>
      <c r="AX62" s="6"/>
      <c r="AY62" s="6"/>
      <c r="AZ62" s="20"/>
      <c r="BA62" s="20"/>
    </row>
    <row r="63" spans="1:53" s="38" customFormat="1" ht="15.75">
      <c r="A63" s="21">
        <v>32</v>
      </c>
      <c r="B63" s="22"/>
      <c r="C63" s="22"/>
      <c r="D63" s="22"/>
      <c r="E63" s="105"/>
      <c r="F63" s="105"/>
      <c r="G63" s="105"/>
      <c r="H63" s="105"/>
      <c r="I63" s="105"/>
      <c r="J63" s="105"/>
      <c r="K63" s="99"/>
      <c r="L63" s="100"/>
      <c r="M63" s="100"/>
      <c r="N63" s="101"/>
      <c r="O63" s="94"/>
      <c r="P63" s="95"/>
      <c r="Q63" s="96"/>
      <c r="R63" s="102"/>
      <c r="S63" s="103"/>
      <c r="T63" s="103"/>
      <c r="U63" s="104"/>
      <c r="V63" s="80"/>
      <c r="W63" s="81"/>
      <c r="X63" s="80"/>
      <c r="Y63" s="81"/>
      <c r="Z63" s="80"/>
      <c r="AA63" s="81"/>
      <c r="AB63" s="94"/>
      <c r="AC63" s="95"/>
      <c r="AD63" s="95"/>
      <c r="AE63" s="96"/>
      <c r="AF63" s="94"/>
      <c r="AG63" s="95"/>
      <c r="AH63" s="95"/>
      <c r="AI63" s="106"/>
      <c r="AJ63" s="106"/>
      <c r="AK63" s="106"/>
      <c r="AL63" s="106"/>
      <c r="AM63" s="22" t="str">
        <f t="shared" si="6"/>
        <v/>
      </c>
      <c r="AN63" s="23"/>
      <c r="AO63" s="24"/>
      <c r="AP63" s="63" t="str">
        <f t="shared" si="7"/>
        <v/>
      </c>
      <c r="AQ63" s="25"/>
      <c r="AR63" s="25"/>
      <c r="AS63" s="6" t="str">
        <f t="shared" si="4"/>
        <v/>
      </c>
      <c r="AT63" s="6" t="str">
        <f t="shared" si="5"/>
        <v/>
      </c>
      <c r="AU63" s="6"/>
      <c r="AV63" s="6"/>
      <c r="AW63" s="6"/>
      <c r="AX63" s="6"/>
      <c r="AY63" s="6"/>
      <c r="AZ63" s="20"/>
      <c r="BA63" s="20"/>
    </row>
    <row r="64" spans="1:53" s="38" customFormat="1" ht="15.75">
      <c r="A64" s="21">
        <v>33</v>
      </c>
      <c r="B64" s="22"/>
      <c r="C64" s="22"/>
      <c r="D64" s="22"/>
      <c r="E64" s="105"/>
      <c r="F64" s="105"/>
      <c r="G64" s="105"/>
      <c r="H64" s="105"/>
      <c r="I64" s="105"/>
      <c r="J64" s="105"/>
      <c r="K64" s="99"/>
      <c r="L64" s="100"/>
      <c r="M64" s="100"/>
      <c r="N64" s="101"/>
      <c r="O64" s="94"/>
      <c r="P64" s="95"/>
      <c r="Q64" s="96"/>
      <c r="R64" s="102"/>
      <c r="S64" s="103"/>
      <c r="T64" s="103"/>
      <c r="U64" s="104"/>
      <c r="V64" s="80"/>
      <c r="W64" s="81"/>
      <c r="X64" s="80"/>
      <c r="Y64" s="81"/>
      <c r="Z64" s="80"/>
      <c r="AA64" s="81"/>
      <c r="AB64" s="94"/>
      <c r="AC64" s="95"/>
      <c r="AD64" s="95"/>
      <c r="AE64" s="96"/>
      <c r="AF64" s="94"/>
      <c r="AG64" s="95"/>
      <c r="AH64" s="95"/>
      <c r="AI64" s="106"/>
      <c r="AJ64" s="106"/>
      <c r="AK64" s="106"/>
      <c r="AL64" s="106"/>
      <c r="AM64" s="22" t="str">
        <f t="shared" si="6"/>
        <v/>
      </c>
      <c r="AN64" s="23"/>
      <c r="AO64" s="24"/>
      <c r="AP64" s="63" t="str">
        <f t="shared" si="7"/>
        <v/>
      </c>
      <c r="AQ64" s="25"/>
      <c r="AR64" s="25"/>
      <c r="AS64" s="6" t="str">
        <f t="shared" ref="AS64:AS95" si="8">IF($AT64="","",IF(AND($AT64=$AV$34,$X64&lt;6),"ok",IF(AND($AT64=$AV$35,$X64&lt;21),"ok",IF(AND($AT64=$AV$36,$X64&lt;21),"ok"))))</f>
        <v/>
      </c>
      <c r="AT64" s="6" t="str">
        <f t="shared" si="5"/>
        <v/>
      </c>
      <c r="AU64" s="6"/>
      <c r="AV64" s="6"/>
      <c r="AW64" s="6"/>
      <c r="AX64" s="6"/>
      <c r="AY64" s="6"/>
      <c r="AZ64" s="20"/>
      <c r="BA64" s="20"/>
    </row>
    <row r="65" spans="1:53" s="38" customFormat="1" ht="15.75">
      <c r="A65" s="21">
        <v>34</v>
      </c>
      <c r="B65" s="22"/>
      <c r="C65" s="22"/>
      <c r="D65" s="22"/>
      <c r="E65" s="105"/>
      <c r="F65" s="105"/>
      <c r="G65" s="105"/>
      <c r="H65" s="105"/>
      <c r="I65" s="105"/>
      <c r="J65" s="105"/>
      <c r="K65" s="99"/>
      <c r="L65" s="100"/>
      <c r="M65" s="100"/>
      <c r="N65" s="101"/>
      <c r="O65" s="94"/>
      <c r="P65" s="95"/>
      <c r="Q65" s="96"/>
      <c r="R65" s="102"/>
      <c r="S65" s="103"/>
      <c r="T65" s="103"/>
      <c r="U65" s="104"/>
      <c r="V65" s="80"/>
      <c r="W65" s="81"/>
      <c r="X65" s="80"/>
      <c r="Y65" s="81"/>
      <c r="Z65" s="80"/>
      <c r="AA65" s="81"/>
      <c r="AB65" s="94"/>
      <c r="AC65" s="95"/>
      <c r="AD65" s="95"/>
      <c r="AE65" s="96"/>
      <c r="AF65" s="94"/>
      <c r="AG65" s="95"/>
      <c r="AH65" s="95"/>
      <c r="AI65" s="106"/>
      <c r="AJ65" s="106"/>
      <c r="AK65" s="106"/>
      <c r="AL65" s="106"/>
      <c r="AM65" s="22" t="str">
        <f t="shared" si="6"/>
        <v/>
      </c>
      <c r="AN65" s="23"/>
      <c r="AO65" s="24"/>
      <c r="AP65" s="63" t="str">
        <f t="shared" si="7"/>
        <v/>
      </c>
      <c r="AQ65" s="25"/>
      <c r="AR65" s="25"/>
      <c r="AS65" s="6" t="str">
        <f t="shared" si="8"/>
        <v/>
      </c>
      <c r="AT65" s="6" t="str">
        <f t="shared" si="5"/>
        <v/>
      </c>
      <c r="AU65" s="6"/>
      <c r="AV65" s="6"/>
      <c r="AW65" s="6"/>
      <c r="AX65" s="6"/>
      <c r="AY65" s="6"/>
      <c r="AZ65" s="20"/>
      <c r="BA65" s="20"/>
    </row>
    <row r="66" spans="1:53" s="38" customFormat="1" ht="15.75">
      <c r="A66" s="21">
        <v>35</v>
      </c>
      <c r="B66" s="22"/>
      <c r="C66" s="22"/>
      <c r="D66" s="22"/>
      <c r="E66" s="105"/>
      <c r="F66" s="105"/>
      <c r="G66" s="105"/>
      <c r="H66" s="105"/>
      <c r="I66" s="105"/>
      <c r="J66" s="105"/>
      <c r="K66" s="99"/>
      <c r="L66" s="100"/>
      <c r="M66" s="100"/>
      <c r="N66" s="101"/>
      <c r="O66" s="94"/>
      <c r="P66" s="95"/>
      <c r="Q66" s="96"/>
      <c r="R66" s="102"/>
      <c r="S66" s="103"/>
      <c r="T66" s="103"/>
      <c r="U66" s="104"/>
      <c r="V66" s="80"/>
      <c r="W66" s="81"/>
      <c r="X66" s="80"/>
      <c r="Y66" s="81"/>
      <c r="Z66" s="80"/>
      <c r="AA66" s="81"/>
      <c r="AB66" s="94"/>
      <c r="AC66" s="95"/>
      <c r="AD66" s="95"/>
      <c r="AE66" s="96"/>
      <c r="AF66" s="94"/>
      <c r="AG66" s="95"/>
      <c r="AH66" s="95"/>
      <c r="AI66" s="106"/>
      <c r="AJ66" s="106"/>
      <c r="AK66" s="106"/>
      <c r="AL66" s="106"/>
      <c r="AM66" s="22" t="str">
        <f t="shared" si="6"/>
        <v/>
      </c>
      <c r="AN66" s="23"/>
      <c r="AO66" s="24"/>
      <c r="AP66" s="63" t="str">
        <f t="shared" si="7"/>
        <v/>
      </c>
      <c r="AQ66" s="25"/>
      <c r="AR66" s="25"/>
      <c r="AS66" s="6" t="str">
        <f t="shared" si="8"/>
        <v/>
      </c>
      <c r="AT66" s="6" t="str">
        <f t="shared" si="5"/>
        <v/>
      </c>
      <c r="AU66" s="6"/>
      <c r="AV66" s="6"/>
      <c r="AW66" s="6"/>
      <c r="AX66" s="6"/>
      <c r="AY66" s="6"/>
      <c r="AZ66" s="20"/>
      <c r="BA66" s="20"/>
    </row>
    <row r="67" spans="1:53" s="38" customFormat="1" ht="15.75">
      <c r="A67" s="21">
        <v>36</v>
      </c>
      <c r="B67" s="22"/>
      <c r="C67" s="22"/>
      <c r="D67" s="22"/>
      <c r="E67" s="105"/>
      <c r="F67" s="105"/>
      <c r="G67" s="105"/>
      <c r="H67" s="105"/>
      <c r="I67" s="105"/>
      <c r="J67" s="105"/>
      <c r="K67" s="99"/>
      <c r="L67" s="100"/>
      <c r="M67" s="100"/>
      <c r="N67" s="101"/>
      <c r="O67" s="94"/>
      <c r="P67" s="95"/>
      <c r="Q67" s="96"/>
      <c r="R67" s="102"/>
      <c r="S67" s="103"/>
      <c r="T67" s="103"/>
      <c r="U67" s="104"/>
      <c r="V67" s="80"/>
      <c r="W67" s="81"/>
      <c r="X67" s="80"/>
      <c r="Y67" s="81"/>
      <c r="Z67" s="80"/>
      <c r="AA67" s="81"/>
      <c r="AB67" s="94"/>
      <c r="AC67" s="95"/>
      <c r="AD67" s="95"/>
      <c r="AE67" s="96"/>
      <c r="AF67" s="94"/>
      <c r="AG67" s="95"/>
      <c r="AH67" s="95"/>
      <c r="AI67" s="106"/>
      <c r="AJ67" s="106"/>
      <c r="AK67" s="106"/>
      <c r="AL67" s="106"/>
      <c r="AM67" s="22" t="str">
        <f t="shared" si="6"/>
        <v/>
      </c>
      <c r="AN67" s="23"/>
      <c r="AO67" s="24"/>
      <c r="AP67" s="63" t="str">
        <f t="shared" si="7"/>
        <v/>
      </c>
      <c r="AQ67" s="25"/>
      <c r="AR67" s="25"/>
      <c r="AS67" s="6" t="str">
        <f t="shared" si="8"/>
        <v/>
      </c>
      <c r="AT67" s="6" t="str">
        <f t="shared" si="5"/>
        <v/>
      </c>
      <c r="AU67" s="6"/>
      <c r="AV67" s="6"/>
      <c r="AW67" s="6"/>
      <c r="AX67" s="6"/>
      <c r="AY67" s="6"/>
      <c r="AZ67" s="20"/>
      <c r="BA67" s="20"/>
    </row>
    <row r="68" spans="1:53" s="38" customFormat="1" ht="15.75">
      <c r="A68" s="21">
        <v>37</v>
      </c>
      <c r="B68" s="22"/>
      <c r="C68" s="22"/>
      <c r="D68" s="22"/>
      <c r="E68" s="105"/>
      <c r="F68" s="105"/>
      <c r="G68" s="105"/>
      <c r="H68" s="105"/>
      <c r="I68" s="105"/>
      <c r="J68" s="105"/>
      <c r="K68" s="99"/>
      <c r="L68" s="100"/>
      <c r="M68" s="100"/>
      <c r="N68" s="101"/>
      <c r="O68" s="94"/>
      <c r="P68" s="95"/>
      <c r="Q68" s="96"/>
      <c r="R68" s="102"/>
      <c r="S68" s="103"/>
      <c r="T68" s="103"/>
      <c r="U68" s="104"/>
      <c r="V68" s="80"/>
      <c r="W68" s="81"/>
      <c r="X68" s="80"/>
      <c r="Y68" s="81"/>
      <c r="Z68" s="80"/>
      <c r="AA68" s="81"/>
      <c r="AB68" s="94"/>
      <c r="AC68" s="95"/>
      <c r="AD68" s="95"/>
      <c r="AE68" s="96"/>
      <c r="AF68" s="94"/>
      <c r="AG68" s="95"/>
      <c r="AH68" s="95"/>
      <c r="AI68" s="106"/>
      <c r="AJ68" s="106"/>
      <c r="AK68" s="106"/>
      <c r="AL68" s="106"/>
      <c r="AM68" s="22" t="str">
        <f t="shared" si="6"/>
        <v/>
      </c>
      <c r="AN68" s="23"/>
      <c r="AO68" s="24"/>
      <c r="AP68" s="63" t="str">
        <f t="shared" si="7"/>
        <v/>
      </c>
      <c r="AQ68" s="25"/>
      <c r="AR68" s="25"/>
      <c r="AS68" s="6" t="str">
        <f t="shared" si="8"/>
        <v/>
      </c>
      <c r="AT68" s="6" t="str">
        <f t="shared" si="5"/>
        <v/>
      </c>
      <c r="AU68" s="6"/>
      <c r="AV68" s="6"/>
      <c r="AW68" s="6"/>
      <c r="AX68" s="6"/>
      <c r="AY68" s="6"/>
      <c r="AZ68" s="20"/>
      <c r="BA68" s="20"/>
    </row>
    <row r="69" spans="1:53" s="38" customFormat="1" ht="15.75">
      <c r="A69" s="21">
        <v>38</v>
      </c>
      <c r="B69" s="22"/>
      <c r="C69" s="22"/>
      <c r="D69" s="22"/>
      <c r="E69" s="105"/>
      <c r="F69" s="105"/>
      <c r="G69" s="105"/>
      <c r="H69" s="105"/>
      <c r="I69" s="105"/>
      <c r="J69" s="105"/>
      <c r="K69" s="99"/>
      <c r="L69" s="100"/>
      <c r="M69" s="100"/>
      <c r="N69" s="101"/>
      <c r="O69" s="94"/>
      <c r="P69" s="95"/>
      <c r="Q69" s="96"/>
      <c r="R69" s="102"/>
      <c r="S69" s="103"/>
      <c r="T69" s="103"/>
      <c r="U69" s="104"/>
      <c r="V69" s="80"/>
      <c r="W69" s="81"/>
      <c r="X69" s="80"/>
      <c r="Y69" s="81"/>
      <c r="Z69" s="80"/>
      <c r="AA69" s="81"/>
      <c r="AB69" s="94"/>
      <c r="AC69" s="95"/>
      <c r="AD69" s="95"/>
      <c r="AE69" s="96"/>
      <c r="AF69" s="94"/>
      <c r="AG69" s="95"/>
      <c r="AH69" s="95"/>
      <c r="AI69" s="106"/>
      <c r="AJ69" s="106"/>
      <c r="AK69" s="106"/>
      <c r="AL69" s="106"/>
      <c r="AM69" s="22" t="str">
        <f t="shared" si="6"/>
        <v/>
      </c>
      <c r="AN69" s="23"/>
      <c r="AO69" s="24"/>
      <c r="AP69" s="63" t="str">
        <f t="shared" si="7"/>
        <v/>
      </c>
      <c r="AQ69" s="25"/>
      <c r="AR69" s="25"/>
      <c r="AS69" s="6" t="str">
        <f t="shared" si="8"/>
        <v/>
      </c>
      <c r="AT69" s="6" t="str">
        <f t="shared" si="5"/>
        <v/>
      </c>
      <c r="AU69" s="6"/>
      <c r="AV69" s="6"/>
      <c r="AW69" s="6"/>
      <c r="AX69" s="6"/>
      <c r="AY69" s="6"/>
      <c r="AZ69" s="20"/>
      <c r="BA69" s="20"/>
    </row>
    <row r="70" spans="1:53" s="38" customFormat="1" ht="15.75">
      <c r="A70" s="21">
        <v>39</v>
      </c>
      <c r="B70" s="22"/>
      <c r="C70" s="22"/>
      <c r="D70" s="22"/>
      <c r="E70" s="105"/>
      <c r="F70" s="105"/>
      <c r="G70" s="105"/>
      <c r="H70" s="105"/>
      <c r="I70" s="105"/>
      <c r="J70" s="105"/>
      <c r="K70" s="99"/>
      <c r="L70" s="100"/>
      <c r="M70" s="100"/>
      <c r="N70" s="101"/>
      <c r="O70" s="94"/>
      <c r="P70" s="95"/>
      <c r="Q70" s="96"/>
      <c r="R70" s="102"/>
      <c r="S70" s="103"/>
      <c r="T70" s="103"/>
      <c r="U70" s="104"/>
      <c r="V70" s="80"/>
      <c r="W70" s="81"/>
      <c r="X70" s="80"/>
      <c r="Y70" s="81"/>
      <c r="Z70" s="80"/>
      <c r="AA70" s="81"/>
      <c r="AB70" s="94"/>
      <c r="AC70" s="95"/>
      <c r="AD70" s="95"/>
      <c r="AE70" s="96"/>
      <c r="AF70" s="94"/>
      <c r="AG70" s="95"/>
      <c r="AH70" s="95"/>
      <c r="AI70" s="106"/>
      <c r="AJ70" s="106"/>
      <c r="AK70" s="106"/>
      <c r="AL70" s="106"/>
      <c r="AM70" s="22" t="str">
        <f t="shared" si="6"/>
        <v/>
      </c>
      <c r="AN70" s="23"/>
      <c r="AO70" s="24"/>
      <c r="AP70" s="63" t="str">
        <f t="shared" si="7"/>
        <v/>
      </c>
      <c r="AQ70" s="25"/>
      <c r="AR70" s="25"/>
      <c r="AS70" s="6" t="str">
        <f t="shared" si="8"/>
        <v/>
      </c>
      <c r="AT70" s="6" t="str">
        <f t="shared" si="5"/>
        <v/>
      </c>
      <c r="AU70" s="6"/>
      <c r="AV70" s="6"/>
      <c r="AW70" s="6"/>
      <c r="AX70" s="6"/>
      <c r="AY70" s="6"/>
      <c r="AZ70" s="20"/>
      <c r="BA70" s="20"/>
    </row>
    <row r="71" spans="1:53" s="38" customFormat="1" ht="15.75">
      <c r="A71" s="21">
        <v>40</v>
      </c>
      <c r="B71" s="22"/>
      <c r="C71" s="22"/>
      <c r="D71" s="22"/>
      <c r="E71" s="105"/>
      <c r="F71" s="105"/>
      <c r="G71" s="105"/>
      <c r="H71" s="105"/>
      <c r="I71" s="105"/>
      <c r="J71" s="105"/>
      <c r="K71" s="99"/>
      <c r="L71" s="100"/>
      <c r="M71" s="100"/>
      <c r="N71" s="101"/>
      <c r="O71" s="94"/>
      <c r="P71" s="95"/>
      <c r="Q71" s="96"/>
      <c r="R71" s="102"/>
      <c r="S71" s="103"/>
      <c r="T71" s="103"/>
      <c r="U71" s="104"/>
      <c r="V71" s="80"/>
      <c r="W71" s="81"/>
      <c r="X71" s="80"/>
      <c r="Y71" s="81"/>
      <c r="Z71" s="80"/>
      <c r="AA71" s="81"/>
      <c r="AB71" s="94"/>
      <c r="AC71" s="95"/>
      <c r="AD71" s="95"/>
      <c r="AE71" s="96"/>
      <c r="AF71" s="94"/>
      <c r="AG71" s="95"/>
      <c r="AH71" s="95"/>
      <c r="AI71" s="106"/>
      <c r="AJ71" s="106"/>
      <c r="AK71" s="106"/>
      <c r="AL71" s="106"/>
      <c r="AM71" s="22" t="str">
        <f t="shared" si="6"/>
        <v/>
      </c>
      <c r="AN71" s="23"/>
      <c r="AO71" s="24"/>
      <c r="AP71" s="63" t="str">
        <f t="shared" si="7"/>
        <v/>
      </c>
      <c r="AQ71" s="25"/>
      <c r="AR71" s="25"/>
      <c r="AS71" s="6" t="str">
        <f t="shared" si="8"/>
        <v/>
      </c>
      <c r="AT71" s="6" t="str">
        <f t="shared" si="5"/>
        <v/>
      </c>
      <c r="AU71" s="6"/>
      <c r="AV71" s="6"/>
      <c r="AW71" s="6"/>
      <c r="AX71" s="6"/>
      <c r="AY71" s="6"/>
      <c r="AZ71" s="20"/>
      <c r="BA71" s="20"/>
    </row>
    <row r="72" spans="1:53" s="38" customFormat="1" ht="15.75">
      <c r="A72" s="21">
        <v>41</v>
      </c>
      <c r="B72" s="22"/>
      <c r="C72" s="22"/>
      <c r="D72" s="22"/>
      <c r="E72" s="105"/>
      <c r="F72" s="105"/>
      <c r="G72" s="105"/>
      <c r="H72" s="105"/>
      <c r="I72" s="105"/>
      <c r="J72" s="105"/>
      <c r="K72" s="99"/>
      <c r="L72" s="100"/>
      <c r="M72" s="100"/>
      <c r="N72" s="101"/>
      <c r="O72" s="94"/>
      <c r="P72" s="95"/>
      <c r="Q72" s="96"/>
      <c r="R72" s="102"/>
      <c r="S72" s="103"/>
      <c r="T72" s="103"/>
      <c r="U72" s="104"/>
      <c r="V72" s="80"/>
      <c r="W72" s="81"/>
      <c r="X72" s="80"/>
      <c r="Y72" s="81"/>
      <c r="Z72" s="80"/>
      <c r="AA72" s="81"/>
      <c r="AB72" s="94"/>
      <c r="AC72" s="95"/>
      <c r="AD72" s="95"/>
      <c r="AE72" s="96"/>
      <c r="AF72" s="94"/>
      <c r="AG72" s="95"/>
      <c r="AH72" s="95"/>
      <c r="AI72" s="106"/>
      <c r="AJ72" s="106"/>
      <c r="AK72" s="106"/>
      <c r="AL72" s="106"/>
      <c r="AM72" s="22" t="str">
        <f t="shared" si="6"/>
        <v/>
      </c>
      <c r="AN72" s="23"/>
      <c r="AO72" s="24"/>
      <c r="AP72" s="63" t="str">
        <f t="shared" si="7"/>
        <v/>
      </c>
      <c r="AQ72" s="25"/>
      <c r="AR72" s="25"/>
      <c r="AS72" s="6" t="str">
        <f t="shared" si="8"/>
        <v/>
      </c>
      <c r="AT72" s="6" t="str">
        <f t="shared" si="5"/>
        <v/>
      </c>
      <c r="AU72" s="6"/>
      <c r="AV72" s="6"/>
      <c r="AW72" s="6"/>
      <c r="AX72" s="6"/>
      <c r="AY72" s="6"/>
      <c r="AZ72" s="20"/>
      <c r="BA72" s="20"/>
    </row>
    <row r="73" spans="1:53" s="38" customFormat="1" ht="15.75">
      <c r="A73" s="21">
        <v>42</v>
      </c>
      <c r="B73" s="22"/>
      <c r="C73" s="22"/>
      <c r="D73" s="22"/>
      <c r="E73" s="105"/>
      <c r="F73" s="105"/>
      <c r="G73" s="105"/>
      <c r="H73" s="105"/>
      <c r="I73" s="105"/>
      <c r="J73" s="105"/>
      <c r="K73" s="99"/>
      <c r="L73" s="100"/>
      <c r="M73" s="100"/>
      <c r="N73" s="101"/>
      <c r="O73" s="94"/>
      <c r="P73" s="95"/>
      <c r="Q73" s="96"/>
      <c r="R73" s="102"/>
      <c r="S73" s="103"/>
      <c r="T73" s="103"/>
      <c r="U73" s="104"/>
      <c r="V73" s="80"/>
      <c r="W73" s="81"/>
      <c r="X73" s="80"/>
      <c r="Y73" s="81"/>
      <c r="Z73" s="80"/>
      <c r="AA73" s="81"/>
      <c r="AB73" s="94"/>
      <c r="AC73" s="95"/>
      <c r="AD73" s="95"/>
      <c r="AE73" s="96"/>
      <c r="AF73" s="94"/>
      <c r="AG73" s="95"/>
      <c r="AH73" s="95"/>
      <c r="AI73" s="106"/>
      <c r="AJ73" s="106"/>
      <c r="AK73" s="106"/>
      <c r="AL73" s="106"/>
      <c r="AM73" s="22" t="str">
        <f t="shared" si="6"/>
        <v/>
      </c>
      <c r="AN73" s="23"/>
      <c r="AO73" s="24"/>
      <c r="AP73" s="63" t="str">
        <f t="shared" si="7"/>
        <v/>
      </c>
      <c r="AQ73" s="25"/>
      <c r="AR73" s="25"/>
      <c r="AS73" s="6" t="str">
        <f t="shared" si="8"/>
        <v/>
      </c>
      <c r="AT73" s="6" t="str">
        <f t="shared" si="5"/>
        <v/>
      </c>
      <c r="AU73" s="6"/>
      <c r="AV73" s="6"/>
      <c r="AW73" s="6"/>
      <c r="AX73" s="6"/>
      <c r="AY73" s="6"/>
      <c r="AZ73" s="20"/>
      <c r="BA73" s="20"/>
    </row>
    <row r="74" spans="1:53" s="38" customFormat="1" ht="15.75">
      <c r="A74" s="21">
        <v>43</v>
      </c>
      <c r="B74" s="22"/>
      <c r="C74" s="22"/>
      <c r="D74" s="22"/>
      <c r="E74" s="105"/>
      <c r="F74" s="105"/>
      <c r="G74" s="105"/>
      <c r="H74" s="105"/>
      <c r="I74" s="105"/>
      <c r="J74" s="105"/>
      <c r="K74" s="99"/>
      <c r="L74" s="100"/>
      <c r="M74" s="100"/>
      <c r="N74" s="101"/>
      <c r="O74" s="94"/>
      <c r="P74" s="95"/>
      <c r="Q74" s="96"/>
      <c r="R74" s="102"/>
      <c r="S74" s="103"/>
      <c r="T74" s="103"/>
      <c r="U74" s="104"/>
      <c r="V74" s="80"/>
      <c r="W74" s="81"/>
      <c r="X74" s="80"/>
      <c r="Y74" s="81"/>
      <c r="Z74" s="80"/>
      <c r="AA74" s="81"/>
      <c r="AB74" s="94"/>
      <c r="AC74" s="95"/>
      <c r="AD74" s="95"/>
      <c r="AE74" s="96"/>
      <c r="AF74" s="94"/>
      <c r="AG74" s="95"/>
      <c r="AH74" s="95"/>
      <c r="AI74" s="106"/>
      <c r="AJ74" s="106"/>
      <c r="AK74" s="106"/>
      <c r="AL74" s="106"/>
      <c r="AM74" s="22" t="str">
        <f t="shared" si="6"/>
        <v/>
      </c>
      <c r="AN74" s="23"/>
      <c r="AO74" s="24"/>
      <c r="AP74" s="63" t="str">
        <f t="shared" si="7"/>
        <v/>
      </c>
      <c r="AQ74" s="25"/>
      <c r="AR74" s="25"/>
      <c r="AS74" s="6" t="str">
        <f t="shared" si="8"/>
        <v/>
      </c>
      <c r="AT74" s="6" t="str">
        <f t="shared" si="5"/>
        <v/>
      </c>
      <c r="AU74" s="6"/>
      <c r="AV74" s="6"/>
      <c r="AW74" s="6"/>
      <c r="AX74" s="6"/>
      <c r="AY74" s="6"/>
      <c r="AZ74" s="20"/>
      <c r="BA74" s="20"/>
    </row>
    <row r="75" spans="1:53" s="38" customFormat="1" ht="15.75">
      <c r="A75" s="21">
        <v>44</v>
      </c>
      <c r="B75" s="22"/>
      <c r="C75" s="22"/>
      <c r="D75" s="22"/>
      <c r="E75" s="105"/>
      <c r="F75" s="105"/>
      <c r="G75" s="105"/>
      <c r="H75" s="105"/>
      <c r="I75" s="105"/>
      <c r="J75" s="105"/>
      <c r="K75" s="99"/>
      <c r="L75" s="100"/>
      <c r="M75" s="100"/>
      <c r="N75" s="101"/>
      <c r="O75" s="94"/>
      <c r="P75" s="95"/>
      <c r="Q75" s="96"/>
      <c r="R75" s="102"/>
      <c r="S75" s="103"/>
      <c r="T75" s="103"/>
      <c r="U75" s="104"/>
      <c r="V75" s="80"/>
      <c r="W75" s="81"/>
      <c r="X75" s="80"/>
      <c r="Y75" s="81"/>
      <c r="Z75" s="80"/>
      <c r="AA75" s="81"/>
      <c r="AB75" s="94"/>
      <c r="AC75" s="95"/>
      <c r="AD75" s="95"/>
      <c r="AE75" s="96"/>
      <c r="AF75" s="94"/>
      <c r="AG75" s="95"/>
      <c r="AH75" s="95"/>
      <c r="AI75" s="106"/>
      <c r="AJ75" s="106"/>
      <c r="AK75" s="106"/>
      <c r="AL75" s="106"/>
      <c r="AM75" s="22" t="str">
        <f t="shared" si="6"/>
        <v/>
      </c>
      <c r="AN75" s="23"/>
      <c r="AO75" s="24"/>
      <c r="AP75" s="63" t="str">
        <f t="shared" si="7"/>
        <v/>
      </c>
      <c r="AQ75" s="25"/>
      <c r="AR75" s="25"/>
      <c r="AS75" s="6" t="str">
        <f t="shared" si="8"/>
        <v/>
      </c>
      <c r="AT75" s="6" t="str">
        <f t="shared" si="5"/>
        <v/>
      </c>
      <c r="AU75" s="6"/>
      <c r="AV75" s="6"/>
      <c r="AW75" s="6"/>
      <c r="AX75" s="6"/>
      <c r="AY75" s="6"/>
      <c r="AZ75" s="20"/>
      <c r="BA75" s="20"/>
    </row>
    <row r="76" spans="1:53" s="38" customFormat="1" ht="15.75">
      <c r="A76" s="21">
        <v>45</v>
      </c>
      <c r="B76" s="22"/>
      <c r="C76" s="22"/>
      <c r="D76" s="22"/>
      <c r="E76" s="105"/>
      <c r="F76" s="105"/>
      <c r="G76" s="105"/>
      <c r="H76" s="105"/>
      <c r="I76" s="105"/>
      <c r="J76" s="105"/>
      <c r="K76" s="99"/>
      <c r="L76" s="100"/>
      <c r="M76" s="100"/>
      <c r="N76" s="101"/>
      <c r="O76" s="94"/>
      <c r="P76" s="95"/>
      <c r="Q76" s="96"/>
      <c r="R76" s="102"/>
      <c r="S76" s="103"/>
      <c r="T76" s="103"/>
      <c r="U76" s="104"/>
      <c r="V76" s="80"/>
      <c r="W76" s="81"/>
      <c r="X76" s="80"/>
      <c r="Y76" s="81"/>
      <c r="Z76" s="80"/>
      <c r="AA76" s="81"/>
      <c r="AB76" s="94"/>
      <c r="AC76" s="95"/>
      <c r="AD76" s="95"/>
      <c r="AE76" s="96"/>
      <c r="AF76" s="94"/>
      <c r="AG76" s="95"/>
      <c r="AH76" s="95"/>
      <c r="AI76" s="106"/>
      <c r="AJ76" s="106"/>
      <c r="AK76" s="106"/>
      <c r="AL76" s="106"/>
      <c r="AM76" s="22" t="str">
        <f t="shared" si="6"/>
        <v/>
      </c>
      <c r="AN76" s="23"/>
      <c r="AO76" s="24"/>
      <c r="AP76" s="63" t="str">
        <f t="shared" si="7"/>
        <v/>
      </c>
      <c r="AQ76" s="25"/>
      <c r="AR76" s="25"/>
      <c r="AS76" s="6" t="str">
        <f t="shared" si="8"/>
        <v/>
      </c>
      <c r="AT76" s="6" t="str">
        <f t="shared" si="5"/>
        <v/>
      </c>
      <c r="AU76" s="6"/>
      <c r="AV76" s="6"/>
      <c r="AW76" s="6"/>
      <c r="AX76" s="6"/>
      <c r="AY76" s="6"/>
      <c r="AZ76" s="20"/>
      <c r="BA76" s="20"/>
    </row>
    <row r="77" spans="1:53" s="38" customFormat="1" ht="15.75">
      <c r="A77" s="21">
        <v>46</v>
      </c>
      <c r="B77" s="22"/>
      <c r="C77" s="22"/>
      <c r="D77" s="22"/>
      <c r="E77" s="105"/>
      <c r="F77" s="105"/>
      <c r="G77" s="105"/>
      <c r="H77" s="105"/>
      <c r="I77" s="105"/>
      <c r="J77" s="105"/>
      <c r="K77" s="99"/>
      <c r="L77" s="100"/>
      <c r="M77" s="100"/>
      <c r="N77" s="101"/>
      <c r="O77" s="94"/>
      <c r="P77" s="95"/>
      <c r="Q77" s="96"/>
      <c r="R77" s="102"/>
      <c r="S77" s="103"/>
      <c r="T77" s="103"/>
      <c r="U77" s="104"/>
      <c r="V77" s="80"/>
      <c r="W77" s="81"/>
      <c r="X77" s="80"/>
      <c r="Y77" s="81"/>
      <c r="Z77" s="80"/>
      <c r="AA77" s="81"/>
      <c r="AB77" s="94"/>
      <c r="AC77" s="95"/>
      <c r="AD77" s="95"/>
      <c r="AE77" s="96"/>
      <c r="AF77" s="94"/>
      <c r="AG77" s="95"/>
      <c r="AH77" s="95"/>
      <c r="AI77" s="106"/>
      <c r="AJ77" s="106"/>
      <c r="AK77" s="106"/>
      <c r="AL77" s="106"/>
      <c r="AM77" s="22" t="str">
        <f t="shared" si="6"/>
        <v/>
      </c>
      <c r="AN77" s="23"/>
      <c r="AO77" s="24"/>
      <c r="AP77" s="63" t="str">
        <f t="shared" si="7"/>
        <v/>
      </c>
      <c r="AQ77" s="25"/>
      <c r="AR77" s="25"/>
      <c r="AS77" s="6" t="str">
        <f t="shared" si="8"/>
        <v/>
      </c>
      <c r="AT77" s="6" t="str">
        <f t="shared" si="5"/>
        <v/>
      </c>
      <c r="AU77" s="6"/>
      <c r="AV77" s="6"/>
      <c r="AW77" s="6"/>
      <c r="AX77" s="6"/>
      <c r="AY77" s="6"/>
      <c r="AZ77" s="20"/>
      <c r="BA77" s="20"/>
    </row>
    <row r="78" spans="1:53" s="38" customFormat="1" ht="15.75">
      <c r="A78" s="21">
        <v>47</v>
      </c>
      <c r="B78" s="22"/>
      <c r="C78" s="22"/>
      <c r="D78" s="22"/>
      <c r="E78" s="105"/>
      <c r="F78" s="105"/>
      <c r="G78" s="105"/>
      <c r="H78" s="105"/>
      <c r="I78" s="105"/>
      <c r="J78" s="105"/>
      <c r="K78" s="99"/>
      <c r="L78" s="100"/>
      <c r="M78" s="100"/>
      <c r="N78" s="101"/>
      <c r="O78" s="94"/>
      <c r="P78" s="95"/>
      <c r="Q78" s="96"/>
      <c r="R78" s="102"/>
      <c r="S78" s="103"/>
      <c r="T78" s="103"/>
      <c r="U78" s="104"/>
      <c r="V78" s="80"/>
      <c r="W78" s="81"/>
      <c r="X78" s="80"/>
      <c r="Y78" s="81"/>
      <c r="Z78" s="80"/>
      <c r="AA78" s="81"/>
      <c r="AB78" s="94"/>
      <c r="AC78" s="95"/>
      <c r="AD78" s="95"/>
      <c r="AE78" s="96"/>
      <c r="AF78" s="94"/>
      <c r="AG78" s="95"/>
      <c r="AH78" s="95"/>
      <c r="AI78" s="106"/>
      <c r="AJ78" s="106"/>
      <c r="AK78" s="106"/>
      <c r="AL78" s="106"/>
      <c r="AM78" s="22" t="str">
        <f t="shared" si="6"/>
        <v/>
      </c>
      <c r="AN78" s="23"/>
      <c r="AO78" s="24"/>
      <c r="AP78" s="63" t="str">
        <f t="shared" si="7"/>
        <v/>
      </c>
      <c r="AQ78" s="25"/>
      <c r="AR78" s="25"/>
      <c r="AS78" s="6" t="str">
        <f t="shared" si="8"/>
        <v/>
      </c>
      <c r="AT78" s="6" t="str">
        <f t="shared" si="5"/>
        <v/>
      </c>
      <c r="AU78" s="6"/>
      <c r="AV78" s="6"/>
      <c r="AW78" s="6"/>
      <c r="AX78" s="6"/>
      <c r="AY78" s="6"/>
      <c r="AZ78" s="20"/>
      <c r="BA78" s="20"/>
    </row>
    <row r="79" spans="1:53" s="38" customFormat="1" ht="15.75">
      <c r="A79" s="21">
        <v>48</v>
      </c>
      <c r="B79" s="22"/>
      <c r="C79" s="22"/>
      <c r="D79" s="22"/>
      <c r="E79" s="105"/>
      <c r="F79" s="105"/>
      <c r="G79" s="105"/>
      <c r="H79" s="105"/>
      <c r="I79" s="105"/>
      <c r="J79" s="105"/>
      <c r="K79" s="99"/>
      <c r="L79" s="100"/>
      <c r="M79" s="100"/>
      <c r="N79" s="101"/>
      <c r="O79" s="94"/>
      <c r="P79" s="95"/>
      <c r="Q79" s="96"/>
      <c r="R79" s="102"/>
      <c r="S79" s="103"/>
      <c r="T79" s="103"/>
      <c r="U79" s="104"/>
      <c r="V79" s="80"/>
      <c r="W79" s="81"/>
      <c r="X79" s="80"/>
      <c r="Y79" s="81"/>
      <c r="Z79" s="80"/>
      <c r="AA79" s="81"/>
      <c r="AB79" s="94"/>
      <c r="AC79" s="95"/>
      <c r="AD79" s="95"/>
      <c r="AE79" s="96"/>
      <c r="AF79" s="94"/>
      <c r="AG79" s="95"/>
      <c r="AH79" s="95"/>
      <c r="AI79" s="106"/>
      <c r="AJ79" s="106"/>
      <c r="AK79" s="106"/>
      <c r="AL79" s="106"/>
      <c r="AM79" s="22" t="str">
        <f t="shared" si="6"/>
        <v/>
      </c>
      <c r="AN79" s="23"/>
      <c r="AO79" s="24"/>
      <c r="AP79" s="63" t="str">
        <f t="shared" si="7"/>
        <v/>
      </c>
      <c r="AQ79" s="25"/>
      <c r="AR79" s="25"/>
      <c r="AS79" s="6" t="str">
        <f t="shared" si="8"/>
        <v/>
      </c>
      <c r="AT79" s="6" t="str">
        <f t="shared" si="5"/>
        <v/>
      </c>
      <c r="AU79" s="6"/>
      <c r="AV79" s="6"/>
      <c r="AW79" s="6"/>
      <c r="AX79" s="6"/>
      <c r="AY79" s="6"/>
      <c r="AZ79" s="20"/>
      <c r="BA79" s="20"/>
    </row>
    <row r="80" spans="1:53" s="38" customFormat="1" ht="15.75">
      <c r="A80" s="21">
        <v>49</v>
      </c>
      <c r="B80" s="22"/>
      <c r="C80" s="22"/>
      <c r="D80" s="22"/>
      <c r="E80" s="105"/>
      <c r="F80" s="105"/>
      <c r="G80" s="105"/>
      <c r="H80" s="105"/>
      <c r="I80" s="105"/>
      <c r="J80" s="105"/>
      <c r="K80" s="99"/>
      <c r="L80" s="100"/>
      <c r="M80" s="100"/>
      <c r="N80" s="101"/>
      <c r="O80" s="94"/>
      <c r="P80" s="95"/>
      <c r="Q80" s="96"/>
      <c r="R80" s="102"/>
      <c r="S80" s="103"/>
      <c r="T80" s="103"/>
      <c r="U80" s="104"/>
      <c r="V80" s="80"/>
      <c r="W80" s="81"/>
      <c r="X80" s="80"/>
      <c r="Y80" s="81"/>
      <c r="Z80" s="80"/>
      <c r="AA80" s="81"/>
      <c r="AB80" s="94"/>
      <c r="AC80" s="95"/>
      <c r="AD80" s="95"/>
      <c r="AE80" s="96"/>
      <c r="AF80" s="94"/>
      <c r="AG80" s="95"/>
      <c r="AH80" s="95"/>
      <c r="AI80" s="106"/>
      <c r="AJ80" s="106"/>
      <c r="AK80" s="106"/>
      <c r="AL80" s="106"/>
      <c r="AM80" s="22" t="str">
        <f t="shared" si="6"/>
        <v/>
      </c>
      <c r="AN80" s="23"/>
      <c r="AO80" s="24"/>
      <c r="AP80" s="63" t="str">
        <f t="shared" si="7"/>
        <v/>
      </c>
      <c r="AQ80" s="25"/>
      <c r="AR80" s="25"/>
      <c r="AS80" s="6" t="str">
        <f t="shared" si="8"/>
        <v/>
      </c>
      <c r="AT80" s="6" t="str">
        <f t="shared" si="5"/>
        <v/>
      </c>
      <c r="AU80" s="6"/>
      <c r="AV80" s="6"/>
      <c r="AW80" s="6"/>
      <c r="AX80" s="6"/>
      <c r="AY80" s="6"/>
      <c r="AZ80" s="20"/>
      <c r="BA80" s="20"/>
    </row>
    <row r="81" spans="1:53" s="38" customFormat="1" ht="15.75">
      <c r="A81" s="21">
        <v>50</v>
      </c>
      <c r="B81" s="22"/>
      <c r="C81" s="22"/>
      <c r="D81" s="22"/>
      <c r="E81" s="105"/>
      <c r="F81" s="105"/>
      <c r="G81" s="105"/>
      <c r="H81" s="105"/>
      <c r="I81" s="105"/>
      <c r="J81" s="105"/>
      <c r="K81" s="99"/>
      <c r="L81" s="100"/>
      <c r="M81" s="100"/>
      <c r="N81" s="101"/>
      <c r="O81" s="94"/>
      <c r="P81" s="95"/>
      <c r="Q81" s="96"/>
      <c r="R81" s="102"/>
      <c r="S81" s="103"/>
      <c r="T81" s="103"/>
      <c r="U81" s="104"/>
      <c r="V81" s="80"/>
      <c r="W81" s="81"/>
      <c r="X81" s="80"/>
      <c r="Y81" s="81"/>
      <c r="Z81" s="80"/>
      <c r="AA81" s="81"/>
      <c r="AB81" s="94"/>
      <c r="AC81" s="95"/>
      <c r="AD81" s="95"/>
      <c r="AE81" s="96"/>
      <c r="AF81" s="94"/>
      <c r="AG81" s="95"/>
      <c r="AH81" s="95"/>
      <c r="AI81" s="106"/>
      <c r="AJ81" s="106"/>
      <c r="AK81" s="106"/>
      <c r="AL81" s="106"/>
      <c r="AM81" s="22" t="str">
        <f t="shared" si="6"/>
        <v/>
      </c>
      <c r="AN81" s="23"/>
      <c r="AO81" s="24"/>
      <c r="AP81" s="63" t="str">
        <f t="shared" ref="AP81:AP112" si="9">IF(2&lt;=COUNTIF(E:E,E81),"・事業者名：重複","")&amp;IF(AND(E81&lt;&gt;"",R81=""),"・業種：未選択","")&amp;IF(AND(E81&lt;&gt;"",X81=""),"・従業員数：未入力","")</f>
        <v/>
      </c>
      <c r="AQ81" s="25"/>
      <c r="AR81" s="25"/>
      <c r="AS81" s="6" t="str">
        <f t="shared" si="8"/>
        <v/>
      </c>
      <c r="AT81" s="6" t="str">
        <f t="shared" si="5"/>
        <v/>
      </c>
      <c r="AU81" s="6"/>
      <c r="AV81" s="6"/>
      <c r="AW81" s="6"/>
      <c r="AX81" s="6"/>
      <c r="AY81" s="6"/>
      <c r="AZ81" s="20"/>
      <c r="BA81" s="20"/>
    </row>
    <row r="82" spans="1:53" s="38" customFormat="1" ht="15.75">
      <c r="A82" s="21">
        <v>51</v>
      </c>
      <c r="B82" s="22"/>
      <c r="C82" s="22"/>
      <c r="D82" s="22"/>
      <c r="E82" s="105"/>
      <c r="F82" s="105"/>
      <c r="G82" s="105"/>
      <c r="H82" s="105"/>
      <c r="I82" s="105"/>
      <c r="J82" s="105"/>
      <c r="K82" s="99"/>
      <c r="L82" s="100"/>
      <c r="M82" s="100"/>
      <c r="N82" s="101"/>
      <c r="O82" s="94"/>
      <c r="P82" s="95"/>
      <c r="Q82" s="96"/>
      <c r="R82" s="102"/>
      <c r="S82" s="103"/>
      <c r="T82" s="103"/>
      <c r="U82" s="104"/>
      <c r="V82" s="80"/>
      <c r="W82" s="81"/>
      <c r="X82" s="80"/>
      <c r="Y82" s="81"/>
      <c r="Z82" s="80"/>
      <c r="AA82" s="81"/>
      <c r="AB82" s="94"/>
      <c r="AC82" s="95"/>
      <c r="AD82" s="95"/>
      <c r="AE82" s="96"/>
      <c r="AF82" s="94"/>
      <c r="AG82" s="95"/>
      <c r="AH82" s="95"/>
      <c r="AI82" s="106"/>
      <c r="AJ82" s="106"/>
      <c r="AK82" s="106"/>
      <c r="AL82" s="106"/>
      <c r="AM82" s="22" t="str">
        <f t="shared" si="6"/>
        <v/>
      </c>
      <c r="AN82" s="23"/>
      <c r="AO82" s="24"/>
      <c r="AP82" s="63" t="str">
        <f t="shared" si="9"/>
        <v/>
      </c>
      <c r="AQ82" s="25"/>
      <c r="AR82" s="25"/>
      <c r="AS82" s="6" t="str">
        <f t="shared" si="8"/>
        <v/>
      </c>
      <c r="AT82" s="6" t="str">
        <f t="shared" si="5"/>
        <v/>
      </c>
      <c r="AU82" s="6"/>
      <c r="AV82" s="6"/>
      <c r="AW82" s="6"/>
      <c r="AX82" s="6"/>
      <c r="AY82" s="6"/>
      <c r="AZ82" s="20"/>
      <c r="BA82" s="20"/>
    </row>
    <row r="83" spans="1:53" s="38" customFormat="1" ht="15.75">
      <c r="A83" s="21">
        <v>52</v>
      </c>
      <c r="B83" s="22"/>
      <c r="C83" s="22"/>
      <c r="D83" s="22"/>
      <c r="E83" s="105"/>
      <c r="F83" s="105"/>
      <c r="G83" s="105"/>
      <c r="H83" s="105"/>
      <c r="I83" s="105"/>
      <c r="J83" s="105"/>
      <c r="K83" s="99"/>
      <c r="L83" s="100"/>
      <c r="M83" s="100"/>
      <c r="N83" s="101"/>
      <c r="O83" s="94"/>
      <c r="P83" s="95"/>
      <c r="Q83" s="96"/>
      <c r="R83" s="102"/>
      <c r="S83" s="103"/>
      <c r="T83" s="103"/>
      <c r="U83" s="104"/>
      <c r="V83" s="80"/>
      <c r="W83" s="81"/>
      <c r="X83" s="80"/>
      <c r="Y83" s="81"/>
      <c r="Z83" s="80"/>
      <c r="AA83" s="81"/>
      <c r="AB83" s="94"/>
      <c r="AC83" s="95"/>
      <c r="AD83" s="95"/>
      <c r="AE83" s="96"/>
      <c r="AF83" s="94"/>
      <c r="AG83" s="95"/>
      <c r="AH83" s="95"/>
      <c r="AI83" s="106"/>
      <c r="AJ83" s="106"/>
      <c r="AK83" s="106"/>
      <c r="AL83" s="106"/>
      <c r="AM83" s="22" t="str">
        <f t="shared" si="6"/>
        <v/>
      </c>
      <c r="AN83" s="23"/>
      <c r="AO83" s="24"/>
      <c r="AP83" s="63" t="str">
        <f t="shared" si="9"/>
        <v/>
      </c>
      <c r="AQ83" s="25"/>
      <c r="AR83" s="25"/>
      <c r="AS83" s="6" t="str">
        <f t="shared" si="8"/>
        <v/>
      </c>
      <c r="AT83" s="6" t="str">
        <f t="shared" si="5"/>
        <v/>
      </c>
      <c r="AU83" s="6"/>
      <c r="AV83" s="6"/>
      <c r="AW83" s="6"/>
      <c r="AX83" s="6"/>
      <c r="AY83" s="6"/>
      <c r="AZ83" s="20"/>
      <c r="BA83" s="20"/>
    </row>
    <row r="84" spans="1:53" s="38" customFormat="1" ht="15.75">
      <c r="A84" s="21">
        <v>53</v>
      </c>
      <c r="B84" s="22"/>
      <c r="C84" s="22"/>
      <c r="D84" s="22"/>
      <c r="E84" s="105"/>
      <c r="F84" s="105"/>
      <c r="G84" s="105"/>
      <c r="H84" s="105"/>
      <c r="I84" s="105"/>
      <c r="J84" s="105"/>
      <c r="K84" s="99"/>
      <c r="L84" s="100"/>
      <c r="M84" s="100"/>
      <c r="N84" s="101"/>
      <c r="O84" s="94"/>
      <c r="P84" s="95"/>
      <c r="Q84" s="96"/>
      <c r="R84" s="102"/>
      <c r="S84" s="103"/>
      <c r="T84" s="103"/>
      <c r="U84" s="104"/>
      <c r="V84" s="80"/>
      <c r="W84" s="81"/>
      <c r="X84" s="80"/>
      <c r="Y84" s="81"/>
      <c r="Z84" s="80"/>
      <c r="AA84" s="81"/>
      <c r="AB84" s="94"/>
      <c r="AC84" s="95"/>
      <c r="AD84" s="95"/>
      <c r="AE84" s="96"/>
      <c r="AF84" s="94"/>
      <c r="AG84" s="95"/>
      <c r="AH84" s="95"/>
      <c r="AI84" s="106"/>
      <c r="AJ84" s="106"/>
      <c r="AK84" s="106"/>
      <c r="AL84" s="106"/>
      <c r="AM84" s="22" t="str">
        <f t="shared" si="6"/>
        <v/>
      </c>
      <c r="AN84" s="23"/>
      <c r="AO84" s="24"/>
      <c r="AP84" s="63" t="str">
        <f t="shared" si="9"/>
        <v/>
      </c>
      <c r="AQ84" s="25"/>
      <c r="AR84" s="25"/>
      <c r="AS84" s="6" t="str">
        <f t="shared" si="8"/>
        <v/>
      </c>
      <c r="AT84" s="6" t="str">
        <f t="shared" si="5"/>
        <v/>
      </c>
      <c r="AU84" s="6"/>
      <c r="AV84" s="6"/>
      <c r="AW84" s="6"/>
      <c r="AX84" s="6"/>
      <c r="AY84" s="6"/>
      <c r="AZ84" s="20"/>
      <c r="BA84" s="20"/>
    </row>
    <row r="85" spans="1:53" s="38" customFormat="1" ht="15.75">
      <c r="A85" s="21">
        <v>54</v>
      </c>
      <c r="B85" s="22"/>
      <c r="C85" s="22"/>
      <c r="D85" s="22"/>
      <c r="E85" s="105"/>
      <c r="F85" s="105"/>
      <c r="G85" s="105"/>
      <c r="H85" s="105"/>
      <c r="I85" s="105"/>
      <c r="J85" s="105"/>
      <c r="K85" s="99"/>
      <c r="L85" s="100"/>
      <c r="M85" s="100"/>
      <c r="N85" s="101"/>
      <c r="O85" s="94"/>
      <c r="P85" s="95"/>
      <c r="Q85" s="96"/>
      <c r="R85" s="102"/>
      <c r="S85" s="103"/>
      <c r="T85" s="103"/>
      <c r="U85" s="104"/>
      <c r="V85" s="80"/>
      <c r="W85" s="81"/>
      <c r="X85" s="80"/>
      <c r="Y85" s="81"/>
      <c r="Z85" s="80"/>
      <c r="AA85" s="81"/>
      <c r="AB85" s="94"/>
      <c r="AC85" s="95"/>
      <c r="AD85" s="95"/>
      <c r="AE85" s="96"/>
      <c r="AF85" s="94"/>
      <c r="AG85" s="95"/>
      <c r="AH85" s="95"/>
      <c r="AI85" s="106"/>
      <c r="AJ85" s="106"/>
      <c r="AK85" s="106"/>
      <c r="AL85" s="106"/>
      <c r="AM85" s="22" t="str">
        <f t="shared" si="6"/>
        <v/>
      </c>
      <c r="AN85" s="23"/>
      <c r="AO85" s="24"/>
      <c r="AP85" s="63" t="str">
        <f t="shared" si="9"/>
        <v/>
      </c>
      <c r="AQ85" s="25"/>
      <c r="AR85" s="25"/>
      <c r="AS85" s="6" t="str">
        <f t="shared" si="8"/>
        <v/>
      </c>
      <c r="AT85" s="6" t="str">
        <f t="shared" si="5"/>
        <v/>
      </c>
      <c r="AU85" s="6"/>
      <c r="AV85" s="6"/>
      <c r="AW85" s="6"/>
      <c r="AX85" s="6"/>
      <c r="AY85" s="6"/>
      <c r="AZ85" s="20"/>
      <c r="BA85" s="20"/>
    </row>
    <row r="86" spans="1:53" s="38" customFormat="1" ht="15.75">
      <c r="A86" s="21">
        <v>55</v>
      </c>
      <c r="B86" s="22"/>
      <c r="C86" s="22"/>
      <c r="D86" s="22"/>
      <c r="E86" s="105"/>
      <c r="F86" s="105"/>
      <c r="G86" s="105"/>
      <c r="H86" s="105"/>
      <c r="I86" s="105"/>
      <c r="J86" s="105"/>
      <c r="K86" s="99"/>
      <c r="L86" s="100"/>
      <c r="M86" s="100"/>
      <c r="N86" s="101"/>
      <c r="O86" s="94"/>
      <c r="P86" s="95"/>
      <c r="Q86" s="96"/>
      <c r="R86" s="102"/>
      <c r="S86" s="103"/>
      <c r="T86" s="103"/>
      <c r="U86" s="104"/>
      <c r="V86" s="80"/>
      <c r="W86" s="81"/>
      <c r="X86" s="80"/>
      <c r="Y86" s="81"/>
      <c r="Z86" s="80"/>
      <c r="AA86" s="81"/>
      <c r="AB86" s="94"/>
      <c r="AC86" s="95"/>
      <c r="AD86" s="95"/>
      <c r="AE86" s="96"/>
      <c r="AF86" s="94"/>
      <c r="AG86" s="95"/>
      <c r="AH86" s="95"/>
      <c r="AI86" s="106"/>
      <c r="AJ86" s="106"/>
      <c r="AK86" s="106"/>
      <c r="AL86" s="106"/>
      <c r="AM86" s="22" t="str">
        <f t="shared" si="6"/>
        <v/>
      </c>
      <c r="AN86" s="23"/>
      <c r="AO86" s="24"/>
      <c r="AP86" s="63" t="str">
        <f t="shared" si="9"/>
        <v/>
      </c>
      <c r="AQ86" s="25"/>
      <c r="AR86" s="25"/>
      <c r="AS86" s="6" t="str">
        <f t="shared" si="8"/>
        <v/>
      </c>
      <c r="AT86" s="6" t="str">
        <f t="shared" si="5"/>
        <v/>
      </c>
      <c r="AU86" s="6"/>
      <c r="AV86" s="6"/>
      <c r="AW86" s="6"/>
      <c r="AX86" s="6"/>
      <c r="AY86" s="6"/>
      <c r="AZ86" s="20"/>
      <c r="BA86" s="20"/>
    </row>
    <row r="87" spans="1:53" s="38" customFormat="1" ht="15.75">
      <c r="A87" s="21">
        <v>56</v>
      </c>
      <c r="B87" s="22"/>
      <c r="C87" s="22"/>
      <c r="D87" s="22"/>
      <c r="E87" s="105"/>
      <c r="F87" s="105"/>
      <c r="G87" s="105"/>
      <c r="H87" s="105"/>
      <c r="I87" s="105"/>
      <c r="J87" s="105"/>
      <c r="K87" s="99"/>
      <c r="L87" s="100"/>
      <c r="M87" s="100"/>
      <c r="N87" s="101"/>
      <c r="O87" s="94"/>
      <c r="P87" s="95"/>
      <c r="Q87" s="96"/>
      <c r="R87" s="102"/>
      <c r="S87" s="103"/>
      <c r="T87" s="103"/>
      <c r="U87" s="104"/>
      <c r="V87" s="80"/>
      <c r="W87" s="81"/>
      <c r="X87" s="80"/>
      <c r="Y87" s="81"/>
      <c r="Z87" s="80"/>
      <c r="AA87" s="81"/>
      <c r="AB87" s="94"/>
      <c r="AC87" s="95"/>
      <c r="AD87" s="95"/>
      <c r="AE87" s="96"/>
      <c r="AF87" s="94"/>
      <c r="AG87" s="95"/>
      <c r="AH87" s="95"/>
      <c r="AI87" s="106"/>
      <c r="AJ87" s="106"/>
      <c r="AK87" s="106"/>
      <c r="AL87" s="106"/>
      <c r="AM87" s="22" t="str">
        <f t="shared" si="6"/>
        <v/>
      </c>
      <c r="AN87" s="23"/>
      <c r="AO87" s="24"/>
      <c r="AP87" s="63" t="str">
        <f t="shared" si="9"/>
        <v/>
      </c>
      <c r="AQ87" s="25"/>
      <c r="AR87" s="25"/>
      <c r="AS87" s="6" t="str">
        <f t="shared" si="8"/>
        <v/>
      </c>
      <c r="AT87" s="6" t="str">
        <f t="shared" si="5"/>
        <v/>
      </c>
      <c r="AU87" s="6"/>
      <c r="AV87" s="6"/>
      <c r="AW87" s="6"/>
      <c r="AX87" s="6"/>
      <c r="AY87" s="6"/>
      <c r="AZ87" s="20"/>
      <c r="BA87" s="20"/>
    </row>
    <row r="88" spans="1:53" s="38" customFormat="1" ht="15.75">
      <c r="A88" s="21">
        <v>57</v>
      </c>
      <c r="B88" s="22"/>
      <c r="C88" s="22"/>
      <c r="D88" s="22"/>
      <c r="E88" s="105"/>
      <c r="F88" s="105"/>
      <c r="G88" s="105"/>
      <c r="H88" s="105"/>
      <c r="I88" s="105"/>
      <c r="J88" s="105"/>
      <c r="K88" s="99"/>
      <c r="L88" s="100"/>
      <c r="M88" s="100"/>
      <c r="N88" s="101"/>
      <c r="O88" s="94"/>
      <c r="P88" s="95"/>
      <c r="Q88" s="96"/>
      <c r="R88" s="102"/>
      <c r="S88" s="103"/>
      <c r="T88" s="103"/>
      <c r="U88" s="104"/>
      <c r="V88" s="80"/>
      <c r="W88" s="81"/>
      <c r="X88" s="80"/>
      <c r="Y88" s="81"/>
      <c r="Z88" s="80"/>
      <c r="AA88" s="81"/>
      <c r="AB88" s="94"/>
      <c r="AC88" s="95"/>
      <c r="AD88" s="95"/>
      <c r="AE88" s="96"/>
      <c r="AF88" s="94"/>
      <c r="AG88" s="95"/>
      <c r="AH88" s="95"/>
      <c r="AI88" s="106"/>
      <c r="AJ88" s="106"/>
      <c r="AK88" s="106"/>
      <c r="AL88" s="106"/>
      <c r="AM88" s="22" t="str">
        <f t="shared" si="6"/>
        <v/>
      </c>
      <c r="AN88" s="23"/>
      <c r="AO88" s="24"/>
      <c r="AP88" s="63" t="str">
        <f t="shared" si="9"/>
        <v/>
      </c>
      <c r="AQ88" s="25"/>
      <c r="AR88" s="25"/>
      <c r="AS88" s="6" t="str">
        <f t="shared" si="8"/>
        <v/>
      </c>
      <c r="AT88" s="6" t="str">
        <f t="shared" si="5"/>
        <v/>
      </c>
      <c r="AU88" s="6"/>
      <c r="AV88" s="6"/>
      <c r="AW88" s="6"/>
      <c r="AX88" s="6"/>
      <c r="AY88" s="6"/>
      <c r="AZ88" s="20"/>
      <c r="BA88" s="20"/>
    </row>
    <row r="89" spans="1:53" s="38" customFormat="1" ht="15.75">
      <c r="A89" s="21">
        <v>58</v>
      </c>
      <c r="B89" s="22"/>
      <c r="C89" s="22"/>
      <c r="D89" s="22"/>
      <c r="E89" s="105"/>
      <c r="F89" s="105"/>
      <c r="G89" s="105"/>
      <c r="H89" s="105"/>
      <c r="I89" s="105"/>
      <c r="J89" s="105"/>
      <c r="K89" s="99"/>
      <c r="L89" s="100"/>
      <c r="M89" s="100"/>
      <c r="N89" s="101"/>
      <c r="O89" s="94"/>
      <c r="P89" s="95"/>
      <c r="Q89" s="96"/>
      <c r="R89" s="102"/>
      <c r="S89" s="103"/>
      <c r="T89" s="103"/>
      <c r="U89" s="104"/>
      <c r="V89" s="80"/>
      <c r="W89" s="81"/>
      <c r="X89" s="80"/>
      <c r="Y89" s="81"/>
      <c r="Z89" s="80"/>
      <c r="AA89" s="81"/>
      <c r="AB89" s="94"/>
      <c r="AC89" s="95"/>
      <c r="AD89" s="95"/>
      <c r="AE89" s="96"/>
      <c r="AF89" s="94"/>
      <c r="AG89" s="95"/>
      <c r="AH89" s="95"/>
      <c r="AI89" s="106"/>
      <c r="AJ89" s="106"/>
      <c r="AK89" s="106"/>
      <c r="AL89" s="106"/>
      <c r="AM89" s="22" t="str">
        <f t="shared" si="6"/>
        <v/>
      </c>
      <c r="AN89" s="23"/>
      <c r="AO89" s="24"/>
      <c r="AP89" s="63" t="str">
        <f t="shared" si="9"/>
        <v/>
      </c>
      <c r="AQ89" s="25"/>
      <c r="AR89" s="25"/>
      <c r="AS89" s="6" t="str">
        <f t="shared" si="8"/>
        <v/>
      </c>
      <c r="AT89" s="6" t="str">
        <f t="shared" si="5"/>
        <v/>
      </c>
      <c r="AU89" s="6"/>
      <c r="AV89" s="6"/>
      <c r="AW89" s="6"/>
      <c r="AX89" s="6"/>
      <c r="AY89" s="6"/>
      <c r="AZ89" s="20"/>
      <c r="BA89" s="20"/>
    </row>
    <row r="90" spans="1:53" s="38" customFormat="1" ht="15.75">
      <c r="A90" s="21">
        <v>59</v>
      </c>
      <c r="B90" s="22"/>
      <c r="C90" s="22"/>
      <c r="D90" s="22"/>
      <c r="E90" s="105"/>
      <c r="F90" s="105"/>
      <c r="G90" s="105"/>
      <c r="H90" s="105"/>
      <c r="I90" s="105"/>
      <c r="J90" s="105"/>
      <c r="K90" s="99"/>
      <c r="L90" s="100"/>
      <c r="M90" s="100"/>
      <c r="N90" s="101"/>
      <c r="O90" s="94"/>
      <c r="P90" s="95"/>
      <c r="Q90" s="96"/>
      <c r="R90" s="102"/>
      <c r="S90" s="103"/>
      <c r="T90" s="103"/>
      <c r="U90" s="104"/>
      <c r="V90" s="80"/>
      <c r="W90" s="81"/>
      <c r="X90" s="80"/>
      <c r="Y90" s="81"/>
      <c r="Z90" s="80"/>
      <c r="AA90" s="81"/>
      <c r="AB90" s="94"/>
      <c r="AC90" s="95"/>
      <c r="AD90" s="95"/>
      <c r="AE90" s="96"/>
      <c r="AF90" s="94"/>
      <c r="AG90" s="95"/>
      <c r="AH90" s="95"/>
      <c r="AI90" s="106"/>
      <c r="AJ90" s="106"/>
      <c r="AK90" s="106"/>
      <c r="AL90" s="106"/>
      <c r="AM90" s="22" t="str">
        <f t="shared" si="6"/>
        <v/>
      </c>
      <c r="AN90" s="23"/>
      <c r="AO90" s="24"/>
      <c r="AP90" s="63" t="str">
        <f t="shared" si="9"/>
        <v/>
      </c>
      <c r="AQ90" s="25"/>
      <c r="AR90" s="25"/>
      <c r="AS90" s="6" t="str">
        <f t="shared" si="8"/>
        <v/>
      </c>
      <c r="AT90" s="6" t="str">
        <f t="shared" si="5"/>
        <v/>
      </c>
      <c r="AU90" s="6"/>
      <c r="AV90" s="6"/>
      <c r="AW90" s="6"/>
      <c r="AX90" s="6"/>
      <c r="AY90" s="6"/>
      <c r="AZ90" s="20"/>
      <c r="BA90" s="20"/>
    </row>
    <row r="91" spans="1:53" s="38" customFormat="1" ht="15.75">
      <c r="A91" s="21">
        <v>60</v>
      </c>
      <c r="B91" s="22"/>
      <c r="C91" s="22"/>
      <c r="D91" s="22"/>
      <c r="E91" s="105"/>
      <c r="F91" s="105"/>
      <c r="G91" s="105"/>
      <c r="H91" s="105"/>
      <c r="I91" s="105"/>
      <c r="J91" s="105"/>
      <c r="K91" s="99"/>
      <c r="L91" s="100"/>
      <c r="M91" s="100"/>
      <c r="N91" s="101"/>
      <c r="O91" s="94"/>
      <c r="P91" s="95"/>
      <c r="Q91" s="96"/>
      <c r="R91" s="102"/>
      <c r="S91" s="103"/>
      <c r="T91" s="103"/>
      <c r="U91" s="104"/>
      <c r="V91" s="80"/>
      <c r="W91" s="81"/>
      <c r="X91" s="80"/>
      <c r="Y91" s="81"/>
      <c r="Z91" s="80"/>
      <c r="AA91" s="81"/>
      <c r="AB91" s="94"/>
      <c r="AC91" s="95"/>
      <c r="AD91" s="95"/>
      <c r="AE91" s="96"/>
      <c r="AF91" s="94"/>
      <c r="AG91" s="95"/>
      <c r="AH91" s="95"/>
      <c r="AI91" s="106"/>
      <c r="AJ91" s="106"/>
      <c r="AK91" s="106"/>
      <c r="AL91" s="106"/>
      <c r="AM91" s="22" t="str">
        <f t="shared" si="6"/>
        <v/>
      </c>
      <c r="AN91" s="23"/>
      <c r="AO91" s="24"/>
      <c r="AP91" s="63" t="str">
        <f t="shared" si="9"/>
        <v/>
      </c>
      <c r="AQ91" s="25"/>
      <c r="AR91" s="25"/>
      <c r="AS91" s="6" t="str">
        <f t="shared" si="8"/>
        <v/>
      </c>
      <c r="AT91" s="6" t="str">
        <f t="shared" si="5"/>
        <v/>
      </c>
      <c r="AU91" s="6"/>
      <c r="AV91" s="6"/>
      <c r="AW91" s="6"/>
      <c r="AX91" s="6"/>
      <c r="AY91" s="6"/>
      <c r="AZ91" s="20"/>
      <c r="BA91" s="20"/>
    </row>
    <row r="92" spans="1:53" s="38" customFormat="1" ht="15.75">
      <c r="A92" s="21">
        <v>61</v>
      </c>
      <c r="B92" s="22"/>
      <c r="C92" s="22"/>
      <c r="D92" s="22"/>
      <c r="E92" s="105"/>
      <c r="F92" s="105"/>
      <c r="G92" s="105"/>
      <c r="H92" s="105"/>
      <c r="I92" s="105"/>
      <c r="J92" s="105"/>
      <c r="K92" s="99"/>
      <c r="L92" s="100"/>
      <c r="M92" s="100"/>
      <c r="N92" s="101"/>
      <c r="O92" s="94"/>
      <c r="P92" s="95"/>
      <c r="Q92" s="96"/>
      <c r="R92" s="102"/>
      <c r="S92" s="103"/>
      <c r="T92" s="103"/>
      <c r="U92" s="104"/>
      <c r="V92" s="80"/>
      <c r="W92" s="81"/>
      <c r="X92" s="80"/>
      <c r="Y92" s="81"/>
      <c r="Z92" s="80"/>
      <c r="AA92" s="81"/>
      <c r="AB92" s="94"/>
      <c r="AC92" s="95"/>
      <c r="AD92" s="95"/>
      <c r="AE92" s="96"/>
      <c r="AF92" s="94"/>
      <c r="AG92" s="95"/>
      <c r="AH92" s="95"/>
      <c r="AI92" s="106"/>
      <c r="AJ92" s="106"/>
      <c r="AK92" s="106"/>
      <c r="AL92" s="106"/>
      <c r="AM92" s="22" t="str">
        <f t="shared" si="6"/>
        <v/>
      </c>
      <c r="AN92" s="23"/>
      <c r="AO92" s="24"/>
      <c r="AP92" s="63" t="str">
        <f t="shared" si="9"/>
        <v/>
      </c>
      <c r="AQ92" s="25"/>
      <c r="AR92" s="25"/>
      <c r="AS92" s="6" t="str">
        <f t="shared" si="8"/>
        <v/>
      </c>
      <c r="AT92" s="6" t="str">
        <f t="shared" si="5"/>
        <v/>
      </c>
      <c r="AU92" s="6"/>
      <c r="AV92" s="6"/>
      <c r="AW92" s="6"/>
      <c r="AX92" s="6"/>
      <c r="AY92" s="6"/>
      <c r="AZ92" s="20"/>
      <c r="BA92" s="20"/>
    </row>
    <row r="93" spans="1:53" s="38" customFormat="1" ht="15.75">
      <c r="A93" s="21">
        <v>62</v>
      </c>
      <c r="B93" s="22"/>
      <c r="C93" s="22"/>
      <c r="D93" s="22"/>
      <c r="E93" s="105"/>
      <c r="F93" s="105"/>
      <c r="G93" s="105"/>
      <c r="H93" s="105"/>
      <c r="I93" s="105"/>
      <c r="J93" s="105"/>
      <c r="K93" s="99"/>
      <c r="L93" s="100"/>
      <c r="M93" s="100"/>
      <c r="N93" s="101"/>
      <c r="O93" s="94"/>
      <c r="P93" s="95"/>
      <c r="Q93" s="96"/>
      <c r="R93" s="102"/>
      <c r="S93" s="103"/>
      <c r="T93" s="103"/>
      <c r="U93" s="104"/>
      <c r="V93" s="80"/>
      <c r="W93" s="81"/>
      <c r="X93" s="80"/>
      <c r="Y93" s="81"/>
      <c r="Z93" s="80"/>
      <c r="AA93" s="81"/>
      <c r="AB93" s="94"/>
      <c r="AC93" s="95"/>
      <c r="AD93" s="95"/>
      <c r="AE93" s="96"/>
      <c r="AF93" s="94"/>
      <c r="AG93" s="95"/>
      <c r="AH93" s="95"/>
      <c r="AI93" s="106"/>
      <c r="AJ93" s="106"/>
      <c r="AK93" s="106"/>
      <c r="AL93" s="106"/>
      <c r="AM93" s="22" t="str">
        <f t="shared" si="6"/>
        <v/>
      </c>
      <c r="AN93" s="23"/>
      <c r="AO93" s="24"/>
      <c r="AP93" s="63" t="str">
        <f t="shared" si="9"/>
        <v/>
      </c>
      <c r="AQ93" s="25"/>
      <c r="AR93" s="25"/>
      <c r="AS93" s="6" t="str">
        <f t="shared" si="8"/>
        <v/>
      </c>
      <c r="AT93" s="6" t="str">
        <f t="shared" si="5"/>
        <v/>
      </c>
      <c r="AU93" s="6"/>
      <c r="AV93" s="6"/>
      <c r="AW93" s="6"/>
      <c r="AX93" s="6"/>
      <c r="AY93" s="6"/>
      <c r="AZ93" s="20"/>
      <c r="BA93" s="20"/>
    </row>
    <row r="94" spans="1:53" s="38" customFormat="1" ht="15.75">
      <c r="A94" s="21">
        <v>63</v>
      </c>
      <c r="B94" s="22"/>
      <c r="C94" s="22"/>
      <c r="D94" s="22"/>
      <c r="E94" s="105"/>
      <c r="F94" s="105"/>
      <c r="G94" s="105"/>
      <c r="H94" s="105"/>
      <c r="I94" s="105"/>
      <c r="J94" s="105"/>
      <c r="K94" s="99"/>
      <c r="L94" s="100"/>
      <c r="M94" s="100"/>
      <c r="N94" s="101"/>
      <c r="O94" s="94"/>
      <c r="P94" s="95"/>
      <c r="Q94" s="96"/>
      <c r="R94" s="102"/>
      <c r="S94" s="103"/>
      <c r="T94" s="103"/>
      <c r="U94" s="104"/>
      <c r="V94" s="80"/>
      <c r="W94" s="81"/>
      <c r="X94" s="80"/>
      <c r="Y94" s="81"/>
      <c r="Z94" s="80"/>
      <c r="AA94" s="81"/>
      <c r="AB94" s="94"/>
      <c r="AC94" s="95"/>
      <c r="AD94" s="95"/>
      <c r="AE94" s="96"/>
      <c r="AF94" s="94"/>
      <c r="AG94" s="95"/>
      <c r="AH94" s="95"/>
      <c r="AI94" s="106"/>
      <c r="AJ94" s="106"/>
      <c r="AK94" s="106"/>
      <c r="AL94" s="106"/>
      <c r="AM94" s="22" t="str">
        <f t="shared" si="6"/>
        <v/>
      </c>
      <c r="AN94" s="23"/>
      <c r="AO94" s="24"/>
      <c r="AP94" s="63" t="str">
        <f t="shared" si="9"/>
        <v/>
      </c>
      <c r="AQ94" s="25"/>
      <c r="AR94" s="25"/>
      <c r="AS94" s="6" t="str">
        <f t="shared" si="8"/>
        <v/>
      </c>
      <c r="AT94" s="6" t="str">
        <f t="shared" si="5"/>
        <v/>
      </c>
      <c r="AU94" s="6"/>
      <c r="AV94" s="6"/>
      <c r="AW94" s="6"/>
      <c r="AX94" s="6"/>
      <c r="AY94" s="6"/>
      <c r="AZ94" s="20"/>
      <c r="BA94" s="20"/>
    </row>
    <row r="95" spans="1:53" s="38" customFormat="1" ht="15.75">
      <c r="A95" s="21">
        <v>64</v>
      </c>
      <c r="B95" s="22"/>
      <c r="C95" s="22"/>
      <c r="D95" s="22"/>
      <c r="E95" s="105"/>
      <c r="F95" s="105"/>
      <c r="G95" s="105"/>
      <c r="H95" s="105"/>
      <c r="I95" s="105"/>
      <c r="J95" s="105"/>
      <c r="K95" s="99"/>
      <c r="L95" s="100"/>
      <c r="M95" s="100"/>
      <c r="N95" s="101"/>
      <c r="O95" s="94"/>
      <c r="P95" s="95"/>
      <c r="Q95" s="96"/>
      <c r="R95" s="102"/>
      <c r="S95" s="103"/>
      <c r="T95" s="103"/>
      <c r="U95" s="104"/>
      <c r="V95" s="80"/>
      <c r="W95" s="81"/>
      <c r="X95" s="80"/>
      <c r="Y95" s="81"/>
      <c r="Z95" s="80"/>
      <c r="AA95" s="81"/>
      <c r="AB95" s="94"/>
      <c r="AC95" s="95"/>
      <c r="AD95" s="95"/>
      <c r="AE95" s="96"/>
      <c r="AF95" s="94"/>
      <c r="AG95" s="95"/>
      <c r="AH95" s="95"/>
      <c r="AI95" s="106"/>
      <c r="AJ95" s="106"/>
      <c r="AK95" s="106"/>
      <c r="AL95" s="106"/>
      <c r="AM95" s="22" t="str">
        <f t="shared" si="6"/>
        <v/>
      </c>
      <c r="AN95" s="23"/>
      <c r="AO95" s="24"/>
      <c r="AP95" s="63" t="str">
        <f t="shared" si="9"/>
        <v/>
      </c>
      <c r="AQ95" s="25"/>
      <c r="AR95" s="25"/>
      <c r="AS95" s="6" t="str">
        <f t="shared" si="8"/>
        <v/>
      </c>
      <c r="AT95" s="6" t="str">
        <f t="shared" si="5"/>
        <v/>
      </c>
      <c r="AU95" s="6"/>
      <c r="AV95" s="6"/>
      <c r="AW95" s="6"/>
      <c r="AX95" s="6"/>
      <c r="AY95" s="6"/>
      <c r="AZ95" s="20"/>
      <c r="BA95" s="20"/>
    </row>
    <row r="96" spans="1:53" s="38" customFormat="1" ht="15.75">
      <c r="A96" s="21">
        <v>65</v>
      </c>
      <c r="B96" s="22"/>
      <c r="C96" s="22"/>
      <c r="D96" s="22"/>
      <c r="E96" s="105"/>
      <c r="F96" s="105"/>
      <c r="G96" s="105"/>
      <c r="H96" s="105"/>
      <c r="I96" s="105"/>
      <c r="J96" s="105"/>
      <c r="K96" s="99"/>
      <c r="L96" s="100"/>
      <c r="M96" s="100"/>
      <c r="N96" s="101"/>
      <c r="O96" s="94"/>
      <c r="P96" s="95"/>
      <c r="Q96" s="96"/>
      <c r="R96" s="102"/>
      <c r="S96" s="103"/>
      <c r="T96" s="103"/>
      <c r="U96" s="104"/>
      <c r="V96" s="80"/>
      <c r="W96" s="81"/>
      <c r="X96" s="80"/>
      <c r="Y96" s="81"/>
      <c r="Z96" s="80"/>
      <c r="AA96" s="81"/>
      <c r="AB96" s="94"/>
      <c r="AC96" s="95"/>
      <c r="AD96" s="95"/>
      <c r="AE96" s="96"/>
      <c r="AF96" s="94"/>
      <c r="AG96" s="95"/>
      <c r="AH96" s="95"/>
      <c r="AI96" s="106"/>
      <c r="AJ96" s="106"/>
      <c r="AK96" s="106"/>
      <c r="AL96" s="106"/>
      <c r="AM96" s="22" t="str">
        <f t="shared" si="6"/>
        <v/>
      </c>
      <c r="AN96" s="23"/>
      <c r="AO96" s="24"/>
      <c r="AP96" s="63" t="str">
        <f t="shared" si="9"/>
        <v/>
      </c>
      <c r="AQ96" s="25"/>
      <c r="AR96" s="25"/>
      <c r="AS96" s="6" t="str">
        <f t="shared" ref="AS96:AS131" si="10">IF($AT96="","",IF(AND($AT96=$AV$34,$X96&lt;6),"ok",IF(AND($AT96=$AV$35,$X96&lt;21),"ok",IF(AND($AT96=$AV$36,$X96&lt;21),"ok"))))</f>
        <v/>
      </c>
      <c r="AT96" s="6" t="str">
        <f t="shared" ref="AT96:AT131" si="11">IF($R96="","",IF($R96=$AW$34,$AV$34,IF($R96=$AW$35,$AV$35,$AV$36)))</f>
        <v/>
      </c>
      <c r="AU96" s="6"/>
      <c r="AV96" s="6"/>
      <c r="AW96" s="6"/>
      <c r="AX96" s="6"/>
      <c r="AY96" s="6"/>
      <c r="AZ96" s="20"/>
      <c r="BA96" s="20"/>
    </row>
    <row r="97" spans="1:53" s="38" customFormat="1" ht="15.75">
      <c r="A97" s="21">
        <v>66</v>
      </c>
      <c r="B97" s="22"/>
      <c r="C97" s="22"/>
      <c r="D97" s="22"/>
      <c r="E97" s="105"/>
      <c r="F97" s="105"/>
      <c r="G97" s="105"/>
      <c r="H97" s="105"/>
      <c r="I97" s="105"/>
      <c r="J97" s="105"/>
      <c r="K97" s="99"/>
      <c r="L97" s="100"/>
      <c r="M97" s="100"/>
      <c r="N97" s="101"/>
      <c r="O97" s="94"/>
      <c r="P97" s="95"/>
      <c r="Q97" s="96"/>
      <c r="R97" s="102"/>
      <c r="S97" s="103"/>
      <c r="T97" s="103"/>
      <c r="U97" s="104"/>
      <c r="V97" s="80"/>
      <c r="W97" s="81"/>
      <c r="X97" s="80"/>
      <c r="Y97" s="81"/>
      <c r="Z97" s="80"/>
      <c r="AA97" s="81"/>
      <c r="AB97" s="94"/>
      <c r="AC97" s="95"/>
      <c r="AD97" s="95"/>
      <c r="AE97" s="96"/>
      <c r="AF97" s="94"/>
      <c r="AG97" s="95"/>
      <c r="AH97" s="95"/>
      <c r="AI97" s="106"/>
      <c r="AJ97" s="106"/>
      <c r="AK97" s="106"/>
      <c r="AL97" s="106"/>
      <c r="AM97" s="22" t="str">
        <f t="shared" ref="AM97:AM131" si="12">IF(OR(X97="",AS97=""),"",IF($AS97="ok","✓","-"))</f>
        <v/>
      </c>
      <c r="AN97" s="23"/>
      <c r="AO97" s="24"/>
      <c r="AP97" s="63" t="str">
        <f t="shared" si="9"/>
        <v/>
      </c>
      <c r="AQ97" s="25"/>
      <c r="AR97" s="25"/>
      <c r="AS97" s="6" t="str">
        <f t="shared" si="10"/>
        <v/>
      </c>
      <c r="AT97" s="6" t="str">
        <f t="shared" si="11"/>
        <v/>
      </c>
      <c r="AU97" s="6"/>
      <c r="AV97" s="6"/>
      <c r="AW97" s="6"/>
      <c r="AX97" s="6"/>
      <c r="AY97" s="6"/>
      <c r="AZ97" s="20"/>
      <c r="BA97" s="20"/>
    </row>
    <row r="98" spans="1:53" s="38" customFormat="1" ht="15.75">
      <c r="A98" s="21">
        <v>67</v>
      </c>
      <c r="B98" s="22"/>
      <c r="C98" s="22"/>
      <c r="D98" s="22"/>
      <c r="E98" s="105"/>
      <c r="F98" s="105"/>
      <c r="G98" s="105"/>
      <c r="H98" s="105"/>
      <c r="I98" s="105"/>
      <c r="J98" s="105"/>
      <c r="K98" s="99"/>
      <c r="L98" s="100"/>
      <c r="M98" s="100"/>
      <c r="N98" s="101"/>
      <c r="O98" s="94"/>
      <c r="P98" s="95"/>
      <c r="Q98" s="96"/>
      <c r="R98" s="102"/>
      <c r="S98" s="103"/>
      <c r="T98" s="103"/>
      <c r="U98" s="104"/>
      <c r="V98" s="80"/>
      <c r="W98" s="81"/>
      <c r="X98" s="80"/>
      <c r="Y98" s="81"/>
      <c r="Z98" s="80"/>
      <c r="AA98" s="81"/>
      <c r="AB98" s="94"/>
      <c r="AC98" s="95"/>
      <c r="AD98" s="95"/>
      <c r="AE98" s="96"/>
      <c r="AF98" s="94"/>
      <c r="AG98" s="95"/>
      <c r="AH98" s="95"/>
      <c r="AI98" s="106"/>
      <c r="AJ98" s="106"/>
      <c r="AK98" s="106"/>
      <c r="AL98" s="106"/>
      <c r="AM98" s="22" t="str">
        <f t="shared" si="12"/>
        <v/>
      </c>
      <c r="AN98" s="23"/>
      <c r="AO98" s="24"/>
      <c r="AP98" s="63" t="str">
        <f t="shared" si="9"/>
        <v/>
      </c>
      <c r="AQ98" s="25"/>
      <c r="AR98" s="25"/>
      <c r="AS98" s="6" t="str">
        <f t="shared" si="10"/>
        <v/>
      </c>
      <c r="AT98" s="6" t="str">
        <f t="shared" si="11"/>
        <v/>
      </c>
      <c r="AU98" s="6"/>
      <c r="AV98" s="6"/>
      <c r="AW98" s="6"/>
      <c r="AX98" s="6"/>
      <c r="AY98" s="6"/>
      <c r="AZ98" s="20"/>
      <c r="BA98" s="20"/>
    </row>
    <row r="99" spans="1:53" s="38" customFormat="1" ht="15.75">
      <c r="A99" s="21">
        <v>68</v>
      </c>
      <c r="B99" s="22"/>
      <c r="C99" s="22"/>
      <c r="D99" s="22"/>
      <c r="E99" s="105"/>
      <c r="F99" s="105"/>
      <c r="G99" s="105"/>
      <c r="H99" s="105"/>
      <c r="I99" s="105"/>
      <c r="J99" s="105"/>
      <c r="K99" s="99"/>
      <c r="L99" s="100"/>
      <c r="M99" s="100"/>
      <c r="N99" s="101"/>
      <c r="O99" s="94"/>
      <c r="P99" s="95"/>
      <c r="Q99" s="96"/>
      <c r="R99" s="102"/>
      <c r="S99" s="103"/>
      <c r="T99" s="103"/>
      <c r="U99" s="104"/>
      <c r="V99" s="80"/>
      <c r="W99" s="81"/>
      <c r="X99" s="80"/>
      <c r="Y99" s="81"/>
      <c r="Z99" s="80"/>
      <c r="AA99" s="81"/>
      <c r="AB99" s="94"/>
      <c r="AC99" s="95"/>
      <c r="AD99" s="95"/>
      <c r="AE99" s="96"/>
      <c r="AF99" s="94"/>
      <c r="AG99" s="95"/>
      <c r="AH99" s="95"/>
      <c r="AI99" s="106"/>
      <c r="AJ99" s="106"/>
      <c r="AK99" s="106"/>
      <c r="AL99" s="106"/>
      <c r="AM99" s="22" t="str">
        <f t="shared" si="12"/>
        <v/>
      </c>
      <c r="AN99" s="23"/>
      <c r="AO99" s="24"/>
      <c r="AP99" s="63" t="str">
        <f t="shared" si="9"/>
        <v/>
      </c>
      <c r="AQ99" s="25"/>
      <c r="AR99" s="25"/>
      <c r="AS99" s="6" t="str">
        <f t="shared" si="10"/>
        <v/>
      </c>
      <c r="AT99" s="6" t="str">
        <f t="shared" si="11"/>
        <v/>
      </c>
      <c r="AU99" s="6"/>
      <c r="AV99" s="6"/>
      <c r="AW99" s="6"/>
      <c r="AX99" s="6"/>
      <c r="AY99" s="6"/>
      <c r="AZ99" s="20"/>
      <c r="BA99" s="20"/>
    </row>
    <row r="100" spans="1:53" s="38" customFormat="1" ht="15.75">
      <c r="A100" s="21">
        <v>69</v>
      </c>
      <c r="B100" s="22"/>
      <c r="C100" s="22"/>
      <c r="D100" s="22"/>
      <c r="E100" s="105"/>
      <c r="F100" s="105"/>
      <c r="G100" s="105"/>
      <c r="H100" s="105"/>
      <c r="I100" s="105"/>
      <c r="J100" s="105"/>
      <c r="K100" s="99"/>
      <c r="L100" s="100"/>
      <c r="M100" s="100"/>
      <c r="N100" s="101"/>
      <c r="O100" s="94"/>
      <c r="P100" s="95"/>
      <c r="Q100" s="96"/>
      <c r="R100" s="102"/>
      <c r="S100" s="103"/>
      <c r="T100" s="103"/>
      <c r="U100" s="104"/>
      <c r="V100" s="80"/>
      <c r="W100" s="81"/>
      <c r="X100" s="80"/>
      <c r="Y100" s="81"/>
      <c r="Z100" s="80"/>
      <c r="AA100" s="81"/>
      <c r="AB100" s="94"/>
      <c r="AC100" s="95"/>
      <c r="AD100" s="95"/>
      <c r="AE100" s="96"/>
      <c r="AF100" s="94"/>
      <c r="AG100" s="95"/>
      <c r="AH100" s="95"/>
      <c r="AI100" s="106"/>
      <c r="AJ100" s="106"/>
      <c r="AK100" s="106"/>
      <c r="AL100" s="106"/>
      <c r="AM100" s="22" t="str">
        <f t="shared" si="12"/>
        <v/>
      </c>
      <c r="AN100" s="23"/>
      <c r="AO100" s="24"/>
      <c r="AP100" s="63" t="str">
        <f t="shared" si="9"/>
        <v/>
      </c>
      <c r="AQ100" s="25"/>
      <c r="AR100" s="25"/>
      <c r="AS100" s="6" t="str">
        <f t="shared" si="10"/>
        <v/>
      </c>
      <c r="AT100" s="6" t="str">
        <f t="shared" si="11"/>
        <v/>
      </c>
      <c r="AU100" s="6"/>
      <c r="AV100" s="6"/>
      <c r="AW100" s="6"/>
      <c r="AX100" s="6"/>
      <c r="AY100" s="6"/>
      <c r="AZ100" s="20"/>
      <c r="BA100" s="20"/>
    </row>
    <row r="101" spans="1:53" s="38" customFormat="1" ht="15.75">
      <c r="A101" s="21">
        <v>70</v>
      </c>
      <c r="B101" s="22"/>
      <c r="C101" s="22"/>
      <c r="D101" s="22"/>
      <c r="E101" s="105"/>
      <c r="F101" s="105"/>
      <c r="G101" s="105"/>
      <c r="H101" s="105"/>
      <c r="I101" s="105"/>
      <c r="J101" s="105"/>
      <c r="K101" s="99"/>
      <c r="L101" s="100"/>
      <c r="M101" s="100"/>
      <c r="N101" s="101"/>
      <c r="O101" s="94"/>
      <c r="P101" s="95"/>
      <c r="Q101" s="96"/>
      <c r="R101" s="102"/>
      <c r="S101" s="103"/>
      <c r="T101" s="103"/>
      <c r="U101" s="104"/>
      <c r="V101" s="80"/>
      <c r="W101" s="81"/>
      <c r="X101" s="80"/>
      <c r="Y101" s="81"/>
      <c r="Z101" s="80"/>
      <c r="AA101" s="81"/>
      <c r="AB101" s="94"/>
      <c r="AC101" s="95"/>
      <c r="AD101" s="95"/>
      <c r="AE101" s="96"/>
      <c r="AF101" s="94"/>
      <c r="AG101" s="95"/>
      <c r="AH101" s="95"/>
      <c r="AI101" s="106"/>
      <c r="AJ101" s="106"/>
      <c r="AK101" s="106"/>
      <c r="AL101" s="106"/>
      <c r="AM101" s="22" t="str">
        <f t="shared" si="12"/>
        <v/>
      </c>
      <c r="AN101" s="23"/>
      <c r="AO101" s="24"/>
      <c r="AP101" s="63" t="str">
        <f t="shared" si="9"/>
        <v/>
      </c>
      <c r="AQ101" s="25"/>
      <c r="AR101" s="25"/>
      <c r="AS101" s="6" t="str">
        <f t="shared" si="10"/>
        <v/>
      </c>
      <c r="AT101" s="6" t="str">
        <f t="shared" si="11"/>
        <v/>
      </c>
      <c r="AU101" s="6"/>
      <c r="AV101" s="6"/>
      <c r="AW101" s="6"/>
      <c r="AX101" s="6"/>
      <c r="AY101" s="6"/>
      <c r="AZ101" s="20"/>
      <c r="BA101" s="20"/>
    </row>
    <row r="102" spans="1:53" s="38" customFormat="1" ht="15.75">
      <c r="A102" s="21">
        <v>71</v>
      </c>
      <c r="B102" s="22"/>
      <c r="C102" s="22"/>
      <c r="D102" s="22"/>
      <c r="E102" s="105"/>
      <c r="F102" s="105"/>
      <c r="G102" s="105"/>
      <c r="H102" s="105"/>
      <c r="I102" s="105"/>
      <c r="J102" s="105"/>
      <c r="K102" s="99"/>
      <c r="L102" s="100"/>
      <c r="M102" s="100"/>
      <c r="N102" s="101"/>
      <c r="O102" s="94"/>
      <c r="P102" s="95"/>
      <c r="Q102" s="96"/>
      <c r="R102" s="102"/>
      <c r="S102" s="103"/>
      <c r="T102" s="103"/>
      <c r="U102" s="104"/>
      <c r="V102" s="80"/>
      <c r="W102" s="81"/>
      <c r="X102" s="80"/>
      <c r="Y102" s="81"/>
      <c r="Z102" s="80"/>
      <c r="AA102" s="81"/>
      <c r="AB102" s="94"/>
      <c r="AC102" s="95"/>
      <c r="AD102" s="95"/>
      <c r="AE102" s="96"/>
      <c r="AF102" s="94"/>
      <c r="AG102" s="95"/>
      <c r="AH102" s="95"/>
      <c r="AI102" s="106"/>
      <c r="AJ102" s="106"/>
      <c r="AK102" s="106"/>
      <c r="AL102" s="106"/>
      <c r="AM102" s="22" t="str">
        <f t="shared" si="12"/>
        <v/>
      </c>
      <c r="AN102" s="23"/>
      <c r="AO102" s="24"/>
      <c r="AP102" s="63" t="str">
        <f t="shared" si="9"/>
        <v/>
      </c>
      <c r="AQ102" s="25"/>
      <c r="AR102" s="25"/>
      <c r="AS102" s="6" t="str">
        <f t="shared" si="10"/>
        <v/>
      </c>
      <c r="AT102" s="6" t="str">
        <f t="shared" si="11"/>
        <v/>
      </c>
      <c r="AU102" s="6"/>
      <c r="AV102" s="6"/>
      <c r="AW102" s="6"/>
      <c r="AX102" s="6"/>
      <c r="AY102" s="6"/>
      <c r="AZ102" s="20"/>
      <c r="BA102" s="20"/>
    </row>
    <row r="103" spans="1:53" s="38" customFormat="1" ht="15.75">
      <c r="A103" s="21">
        <v>72</v>
      </c>
      <c r="B103" s="22"/>
      <c r="C103" s="22"/>
      <c r="D103" s="22"/>
      <c r="E103" s="105"/>
      <c r="F103" s="105"/>
      <c r="G103" s="105"/>
      <c r="H103" s="105"/>
      <c r="I103" s="105"/>
      <c r="J103" s="105"/>
      <c r="K103" s="99"/>
      <c r="L103" s="100"/>
      <c r="M103" s="100"/>
      <c r="N103" s="101"/>
      <c r="O103" s="94"/>
      <c r="P103" s="95"/>
      <c r="Q103" s="96"/>
      <c r="R103" s="102"/>
      <c r="S103" s="103"/>
      <c r="T103" s="103"/>
      <c r="U103" s="104"/>
      <c r="V103" s="80"/>
      <c r="W103" s="81"/>
      <c r="X103" s="80"/>
      <c r="Y103" s="81"/>
      <c r="Z103" s="80"/>
      <c r="AA103" s="81"/>
      <c r="AB103" s="94"/>
      <c r="AC103" s="95"/>
      <c r="AD103" s="95"/>
      <c r="AE103" s="96"/>
      <c r="AF103" s="94"/>
      <c r="AG103" s="95"/>
      <c r="AH103" s="95"/>
      <c r="AI103" s="106"/>
      <c r="AJ103" s="106"/>
      <c r="AK103" s="106"/>
      <c r="AL103" s="106"/>
      <c r="AM103" s="22" t="str">
        <f t="shared" si="12"/>
        <v/>
      </c>
      <c r="AN103" s="23"/>
      <c r="AO103" s="24"/>
      <c r="AP103" s="63" t="str">
        <f t="shared" si="9"/>
        <v/>
      </c>
      <c r="AQ103" s="25"/>
      <c r="AR103" s="25"/>
      <c r="AS103" s="6" t="str">
        <f t="shared" si="10"/>
        <v/>
      </c>
      <c r="AT103" s="6" t="str">
        <f t="shared" si="11"/>
        <v/>
      </c>
      <c r="AU103" s="6"/>
      <c r="AV103" s="6"/>
      <c r="AW103" s="6"/>
      <c r="AX103" s="6"/>
      <c r="AY103" s="6"/>
      <c r="AZ103" s="20"/>
      <c r="BA103" s="20"/>
    </row>
    <row r="104" spans="1:53" s="38" customFormat="1" ht="15.75">
      <c r="A104" s="21">
        <v>73</v>
      </c>
      <c r="B104" s="22"/>
      <c r="C104" s="22"/>
      <c r="D104" s="22"/>
      <c r="E104" s="105"/>
      <c r="F104" s="105"/>
      <c r="G104" s="105"/>
      <c r="H104" s="105"/>
      <c r="I104" s="105"/>
      <c r="J104" s="105"/>
      <c r="K104" s="99"/>
      <c r="L104" s="100"/>
      <c r="M104" s="100"/>
      <c r="N104" s="101"/>
      <c r="O104" s="94"/>
      <c r="P104" s="95"/>
      <c r="Q104" s="96"/>
      <c r="R104" s="102"/>
      <c r="S104" s="103"/>
      <c r="T104" s="103"/>
      <c r="U104" s="104"/>
      <c r="V104" s="80"/>
      <c r="W104" s="81"/>
      <c r="X104" s="80"/>
      <c r="Y104" s="81"/>
      <c r="Z104" s="80"/>
      <c r="AA104" s="81"/>
      <c r="AB104" s="94"/>
      <c r="AC104" s="95"/>
      <c r="AD104" s="95"/>
      <c r="AE104" s="96"/>
      <c r="AF104" s="94"/>
      <c r="AG104" s="95"/>
      <c r="AH104" s="95"/>
      <c r="AI104" s="106"/>
      <c r="AJ104" s="106"/>
      <c r="AK104" s="106"/>
      <c r="AL104" s="106"/>
      <c r="AM104" s="22" t="str">
        <f t="shared" si="12"/>
        <v/>
      </c>
      <c r="AN104" s="23"/>
      <c r="AO104" s="24"/>
      <c r="AP104" s="63" t="str">
        <f t="shared" si="9"/>
        <v/>
      </c>
      <c r="AQ104" s="25"/>
      <c r="AR104" s="25"/>
      <c r="AS104" s="6" t="str">
        <f t="shared" si="10"/>
        <v/>
      </c>
      <c r="AT104" s="6" t="str">
        <f t="shared" si="11"/>
        <v/>
      </c>
      <c r="AU104" s="6"/>
      <c r="AV104" s="6"/>
      <c r="AW104" s="6"/>
      <c r="AX104" s="6"/>
      <c r="AY104" s="6"/>
      <c r="AZ104" s="20"/>
      <c r="BA104" s="20"/>
    </row>
    <row r="105" spans="1:53" s="38" customFormat="1" ht="15.75">
      <c r="A105" s="21">
        <v>74</v>
      </c>
      <c r="B105" s="22"/>
      <c r="C105" s="22"/>
      <c r="D105" s="22"/>
      <c r="E105" s="105"/>
      <c r="F105" s="105"/>
      <c r="G105" s="105"/>
      <c r="H105" s="105"/>
      <c r="I105" s="105"/>
      <c r="J105" s="105"/>
      <c r="K105" s="99"/>
      <c r="L105" s="100"/>
      <c r="M105" s="100"/>
      <c r="N105" s="101"/>
      <c r="O105" s="94"/>
      <c r="P105" s="95"/>
      <c r="Q105" s="96"/>
      <c r="R105" s="102"/>
      <c r="S105" s="103"/>
      <c r="T105" s="103"/>
      <c r="U105" s="104"/>
      <c r="V105" s="80"/>
      <c r="W105" s="81"/>
      <c r="X105" s="80"/>
      <c r="Y105" s="81"/>
      <c r="Z105" s="80"/>
      <c r="AA105" s="81"/>
      <c r="AB105" s="94"/>
      <c r="AC105" s="95"/>
      <c r="AD105" s="95"/>
      <c r="AE105" s="96"/>
      <c r="AF105" s="94"/>
      <c r="AG105" s="95"/>
      <c r="AH105" s="95"/>
      <c r="AI105" s="106"/>
      <c r="AJ105" s="106"/>
      <c r="AK105" s="106"/>
      <c r="AL105" s="106"/>
      <c r="AM105" s="22" t="str">
        <f t="shared" si="12"/>
        <v/>
      </c>
      <c r="AN105" s="23"/>
      <c r="AO105" s="24"/>
      <c r="AP105" s="63" t="str">
        <f t="shared" si="9"/>
        <v/>
      </c>
      <c r="AQ105" s="25"/>
      <c r="AR105" s="25"/>
      <c r="AS105" s="6" t="str">
        <f t="shared" si="10"/>
        <v/>
      </c>
      <c r="AT105" s="6" t="str">
        <f t="shared" si="11"/>
        <v/>
      </c>
      <c r="AU105" s="6"/>
      <c r="AV105" s="6"/>
      <c r="AW105" s="6"/>
      <c r="AX105" s="6"/>
      <c r="AY105" s="6"/>
      <c r="AZ105" s="20"/>
      <c r="BA105" s="20"/>
    </row>
    <row r="106" spans="1:53" s="38" customFormat="1" ht="15.75">
      <c r="A106" s="21">
        <v>75</v>
      </c>
      <c r="B106" s="22"/>
      <c r="C106" s="22"/>
      <c r="D106" s="22"/>
      <c r="E106" s="105"/>
      <c r="F106" s="105"/>
      <c r="G106" s="105"/>
      <c r="H106" s="105"/>
      <c r="I106" s="105"/>
      <c r="J106" s="105"/>
      <c r="K106" s="99"/>
      <c r="L106" s="100"/>
      <c r="M106" s="100"/>
      <c r="N106" s="101"/>
      <c r="O106" s="94"/>
      <c r="P106" s="95"/>
      <c r="Q106" s="96"/>
      <c r="R106" s="102"/>
      <c r="S106" s="103"/>
      <c r="T106" s="103"/>
      <c r="U106" s="104"/>
      <c r="V106" s="80"/>
      <c r="W106" s="81"/>
      <c r="X106" s="80"/>
      <c r="Y106" s="81"/>
      <c r="Z106" s="80"/>
      <c r="AA106" s="81"/>
      <c r="AB106" s="94"/>
      <c r="AC106" s="95"/>
      <c r="AD106" s="95"/>
      <c r="AE106" s="96"/>
      <c r="AF106" s="94"/>
      <c r="AG106" s="95"/>
      <c r="AH106" s="95"/>
      <c r="AI106" s="106"/>
      <c r="AJ106" s="106"/>
      <c r="AK106" s="106"/>
      <c r="AL106" s="106"/>
      <c r="AM106" s="22" t="str">
        <f t="shared" si="12"/>
        <v/>
      </c>
      <c r="AN106" s="23"/>
      <c r="AO106" s="24"/>
      <c r="AP106" s="63" t="str">
        <f t="shared" si="9"/>
        <v/>
      </c>
      <c r="AQ106" s="25"/>
      <c r="AR106" s="25"/>
      <c r="AS106" s="6" t="str">
        <f t="shared" si="10"/>
        <v/>
      </c>
      <c r="AT106" s="6" t="str">
        <f t="shared" si="11"/>
        <v/>
      </c>
      <c r="AU106" s="6"/>
      <c r="AV106" s="6"/>
      <c r="AW106" s="6"/>
      <c r="AX106" s="6"/>
      <c r="AY106" s="6"/>
      <c r="AZ106" s="20"/>
      <c r="BA106" s="20"/>
    </row>
    <row r="107" spans="1:53" s="38" customFormat="1" ht="15.75">
      <c r="A107" s="21">
        <v>76</v>
      </c>
      <c r="B107" s="22"/>
      <c r="C107" s="22"/>
      <c r="D107" s="22"/>
      <c r="E107" s="105"/>
      <c r="F107" s="105"/>
      <c r="G107" s="105"/>
      <c r="H107" s="105"/>
      <c r="I107" s="105"/>
      <c r="J107" s="105"/>
      <c r="K107" s="99"/>
      <c r="L107" s="100"/>
      <c r="M107" s="100"/>
      <c r="N107" s="101"/>
      <c r="O107" s="94"/>
      <c r="P107" s="95"/>
      <c r="Q107" s="96"/>
      <c r="R107" s="102"/>
      <c r="S107" s="103"/>
      <c r="T107" s="103"/>
      <c r="U107" s="104"/>
      <c r="V107" s="80"/>
      <c r="W107" s="81"/>
      <c r="X107" s="80"/>
      <c r="Y107" s="81"/>
      <c r="Z107" s="80"/>
      <c r="AA107" s="81"/>
      <c r="AB107" s="94"/>
      <c r="AC107" s="95"/>
      <c r="AD107" s="95"/>
      <c r="AE107" s="96"/>
      <c r="AF107" s="94"/>
      <c r="AG107" s="95"/>
      <c r="AH107" s="95"/>
      <c r="AI107" s="106"/>
      <c r="AJ107" s="106"/>
      <c r="AK107" s="106"/>
      <c r="AL107" s="106"/>
      <c r="AM107" s="22" t="str">
        <f t="shared" si="12"/>
        <v/>
      </c>
      <c r="AN107" s="23"/>
      <c r="AO107" s="24"/>
      <c r="AP107" s="63" t="str">
        <f t="shared" si="9"/>
        <v/>
      </c>
      <c r="AQ107" s="25"/>
      <c r="AR107" s="25"/>
      <c r="AS107" s="6" t="str">
        <f t="shared" si="10"/>
        <v/>
      </c>
      <c r="AT107" s="6" t="str">
        <f t="shared" si="11"/>
        <v/>
      </c>
      <c r="AU107" s="6"/>
      <c r="AV107" s="6"/>
      <c r="AW107" s="6"/>
      <c r="AX107" s="6"/>
      <c r="AY107" s="6"/>
      <c r="AZ107" s="20"/>
      <c r="BA107" s="20"/>
    </row>
    <row r="108" spans="1:53" s="38" customFormat="1" ht="15.75">
      <c r="A108" s="21">
        <v>77</v>
      </c>
      <c r="B108" s="22"/>
      <c r="C108" s="22"/>
      <c r="D108" s="22"/>
      <c r="E108" s="105"/>
      <c r="F108" s="105"/>
      <c r="G108" s="105"/>
      <c r="H108" s="105"/>
      <c r="I108" s="105"/>
      <c r="J108" s="105"/>
      <c r="K108" s="99"/>
      <c r="L108" s="100"/>
      <c r="M108" s="100"/>
      <c r="N108" s="101"/>
      <c r="O108" s="94"/>
      <c r="P108" s="95"/>
      <c r="Q108" s="96"/>
      <c r="R108" s="102"/>
      <c r="S108" s="103"/>
      <c r="T108" s="103"/>
      <c r="U108" s="104"/>
      <c r="V108" s="80"/>
      <c r="W108" s="81"/>
      <c r="X108" s="80"/>
      <c r="Y108" s="81"/>
      <c r="Z108" s="80"/>
      <c r="AA108" s="81"/>
      <c r="AB108" s="94"/>
      <c r="AC108" s="95"/>
      <c r="AD108" s="95"/>
      <c r="AE108" s="96"/>
      <c r="AF108" s="94"/>
      <c r="AG108" s="95"/>
      <c r="AH108" s="95"/>
      <c r="AI108" s="106"/>
      <c r="AJ108" s="106"/>
      <c r="AK108" s="106"/>
      <c r="AL108" s="106"/>
      <c r="AM108" s="22" t="str">
        <f t="shared" si="12"/>
        <v/>
      </c>
      <c r="AN108" s="23"/>
      <c r="AO108" s="24"/>
      <c r="AP108" s="63" t="str">
        <f t="shared" si="9"/>
        <v/>
      </c>
      <c r="AQ108" s="25"/>
      <c r="AR108" s="25"/>
      <c r="AS108" s="6" t="str">
        <f t="shared" si="10"/>
        <v/>
      </c>
      <c r="AT108" s="6" t="str">
        <f t="shared" si="11"/>
        <v/>
      </c>
      <c r="AU108" s="6"/>
      <c r="AV108" s="6"/>
      <c r="AW108" s="6"/>
      <c r="AX108" s="6"/>
      <c r="AY108" s="6"/>
      <c r="AZ108" s="20"/>
      <c r="BA108" s="20"/>
    </row>
    <row r="109" spans="1:53" s="38" customFormat="1" ht="15.75">
      <c r="A109" s="21">
        <v>78</v>
      </c>
      <c r="B109" s="22"/>
      <c r="C109" s="22"/>
      <c r="D109" s="22"/>
      <c r="E109" s="105"/>
      <c r="F109" s="105"/>
      <c r="G109" s="105"/>
      <c r="H109" s="105"/>
      <c r="I109" s="105"/>
      <c r="J109" s="105"/>
      <c r="K109" s="99"/>
      <c r="L109" s="100"/>
      <c r="M109" s="100"/>
      <c r="N109" s="101"/>
      <c r="O109" s="94"/>
      <c r="P109" s="95"/>
      <c r="Q109" s="96"/>
      <c r="R109" s="102"/>
      <c r="S109" s="103"/>
      <c r="T109" s="103"/>
      <c r="U109" s="104"/>
      <c r="V109" s="80"/>
      <c r="W109" s="81"/>
      <c r="X109" s="80"/>
      <c r="Y109" s="81"/>
      <c r="Z109" s="80"/>
      <c r="AA109" s="81"/>
      <c r="AB109" s="94"/>
      <c r="AC109" s="95"/>
      <c r="AD109" s="95"/>
      <c r="AE109" s="96"/>
      <c r="AF109" s="94"/>
      <c r="AG109" s="95"/>
      <c r="AH109" s="95"/>
      <c r="AI109" s="106"/>
      <c r="AJ109" s="106"/>
      <c r="AK109" s="106"/>
      <c r="AL109" s="106"/>
      <c r="AM109" s="22" t="str">
        <f t="shared" si="12"/>
        <v/>
      </c>
      <c r="AN109" s="23"/>
      <c r="AO109" s="24"/>
      <c r="AP109" s="63" t="str">
        <f t="shared" si="9"/>
        <v/>
      </c>
      <c r="AQ109" s="25"/>
      <c r="AR109" s="25"/>
      <c r="AS109" s="6" t="str">
        <f t="shared" si="10"/>
        <v/>
      </c>
      <c r="AT109" s="6" t="str">
        <f t="shared" si="11"/>
        <v/>
      </c>
      <c r="AU109" s="6"/>
      <c r="AV109" s="6"/>
      <c r="AW109" s="6"/>
      <c r="AX109" s="6"/>
      <c r="AY109" s="6"/>
      <c r="AZ109" s="20"/>
      <c r="BA109" s="20"/>
    </row>
    <row r="110" spans="1:53" s="38" customFormat="1" ht="15.75">
      <c r="A110" s="21">
        <v>79</v>
      </c>
      <c r="B110" s="22"/>
      <c r="C110" s="22"/>
      <c r="D110" s="22"/>
      <c r="E110" s="105"/>
      <c r="F110" s="105"/>
      <c r="G110" s="105"/>
      <c r="H110" s="105"/>
      <c r="I110" s="105"/>
      <c r="J110" s="105"/>
      <c r="K110" s="99"/>
      <c r="L110" s="100"/>
      <c r="M110" s="100"/>
      <c r="N110" s="101"/>
      <c r="O110" s="94"/>
      <c r="P110" s="95"/>
      <c r="Q110" s="96"/>
      <c r="R110" s="102"/>
      <c r="S110" s="103"/>
      <c r="T110" s="103"/>
      <c r="U110" s="104"/>
      <c r="V110" s="80"/>
      <c r="W110" s="81"/>
      <c r="X110" s="80"/>
      <c r="Y110" s="81"/>
      <c r="Z110" s="80"/>
      <c r="AA110" s="81"/>
      <c r="AB110" s="94"/>
      <c r="AC110" s="95"/>
      <c r="AD110" s="95"/>
      <c r="AE110" s="96"/>
      <c r="AF110" s="94"/>
      <c r="AG110" s="95"/>
      <c r="AH110" s="95"/>
      <c r="AI110" s="106"/>
      <c r="AJ110" s="106"/>
      <c r="AK110" s="106"/>
      <c r="AL110" s="106"/>
      <c r="AM110" s="22" t="str">
        <f t="shared" si="12"/>
        <v/>
      </c>
      <c r="AN110" s="23"/>
      <c r="AO110" s="24"/>
      <c r="AP110" s="63" t="str">
        <f t="shared" si="9"/>
        <v/>
      </c>
      <c r="AQ110" s="25"/>
      <c r="AR110" s="25"/>
      <c r="AS110" s="6" t="str">
        <f t="shared" si="10"/>
        <v/>
      </c>
      <c r="AT110" s="6" t="str">
        <f t="shared" si="11"/>
        <v/>
      </c>
      <c r="AU110" s="6"/>
      <c r="AV110" s="6"/>
      <c r="AW110" s="6"/>
      <c r="AX110" s="6"/>
      <c r="AY110" s="6"/>
      <c r="AZ110" s="20"/>
      <c r="BA110" s="20"/>
    </row>
    <row r="111" spans="1:53" s="38" customFormat="1" ht="15.75">
      <c r="A111" s="21">
        <v>80</v>
      </c>
      <c r="B111" s="22"/>
      <c r="C111" s="22"/>
      <c r="D111" s="22"/>
      <c r="E111" s="105"/>
      <c r="F111" s="105"/>
      <c r="G111" s="105"/>
      <c r="H111" s="105"/>
      <c r="I111" s="105"/>
      <c r="J111" s="105"/>
      <c r="K111" s="99"/>
      <c r="L111" s="100"/>
      <c r="M111" s="100"/>
      <c r="N111" s="101"/>
      <c r="O111" s="94"/>
      <c r="P111" s="95"/>
      <c r="Q111" s="96"/>
      <c r="R111" s="102"/>
      <c r="S111" s="103"/>
      <c r="T111" s="103"/>
      <c r="U111" s="104"/>
      <c r="V111" s="80"/>
      <c r="W111" s="81"/>
      <c r="X111" s="80"/>
      <c r="Y111" s="81"/>
      <c r="Z111" s="80"/>
      <c r="AA111" s="81"/>
      <c r="AB111" s="94"/>
      <c r="AC111" s="95"/>
      <c r="AD111" s="95"/>
      <c r="AE111" s="96"/>
      <c r="AF111" s="94"/>
      <c r="AG111" s="95"/>
      <c r="AH111" s="95"/>
      <c r="AI111" s="106"/>
      <c r="AJ111" s="106"/>
      <c r="AK111" s="106"/>
      <c r="AL111" s="106"/>
      <c r="AM111" s="22" t="str">
        <f t="shared" si="12"/>
        <v/>
      </c>
      <c r="AN111" s="23"/>
      <c r="AO111" s="24"/>
      <c r="AP111" s="63" t="str">
        <f t="shared" si="9"/>
        <v/>
      </c>
      <c r="AQ111" s="25"/>
      <c r="AR111" s="25"/>
      <c r="AS111" s="6" t="str">
        <f t="shared" si="10"/>
        <v/>
      </c>
      <c r="AT111" s="6" t="str">
        <f t="shared" si="11"/>
        <v/>
      </c>
      <c r="AU111" s="6"/>
      <c r="AV111" s="6"/>
      <c r="AW111" s="6"/>
      <c r="AX111" s="6"/>
      <c r="AY111" s="6"/>
      <c r="AZ111" s="20"/>
      <c r="BA111" s="20"/>
    </row>
    <row r="112" spans="1:53" s="38" customFormat="1" ht="15.75">
      <c r="A112" s="21">
        <v>81</v>
      </c>
      <c r="B112" s="22"/>
      <c r="C112" s="22"/>
      <c r="D112" s="22"/>
      <c r="E112" s="105"/>
      <c r="F112" s="105"/>
      <c r="G112" s="105"/>
      <c r="H112" s="105"/>
      <c r="I112" s="105"/>
      <c r="J112" s="105"/>
      <c r="K112" s="99"/>
      <c r="L112" s="100"/>
      <c r="M112" s="100"/>
      <c r="N112" s="101"/>
      <c r="O112" s="94"/>
      <c r="P112" s="95"/>
      <c r="Q112" s="96"/>
      <c r="R112" s="102"/>
      <c r="S112" s="103"/>
      <c r="T112" s="103"/>
      <c r="U112" s="104"/>
      <c r="V112" s="80"/>
      <c r="W112" s="81"/>
      <c r="X112" s="80"/>
      <c r="Y112" s="81"/>
      <c r="Z112" s="80"/>
      <c r="AA112" s="81"/>
      <c r="AB112" s="94"/>
      <c r="AC112" s="95"/>
      <c r="AD112" s="95"/>
      <c r="AE112" s="96"/>
      <c r="AF112" s="94"/>
      <c r="AG112" s="95"/>
      <c r="AH112" s="95"/>
      <c r="AI112" s="106"/>
      <c r="AJ112" s="106"/>
      <c r="AK112" s="106"/>
      <c r="AL112" s="106"/>
      <c r="AM112" s="22" t="str">
        <f t="shared" si="12"/>
        <v/>
      </c>
      <c r="AN112" s="23"/>
      <c r="AO112" s="24"/>
      <c r="AP112" s="63" t="str">
        <f t="shared" si="9"/>
        <v/>
      </c>
      <c r="AQ112" s="25"/>
      <c r="AR112" s="25"/>
      <c r="AS112" s="6" t="str">
        <f t="shared" si="10"/>
        <v/>
      </c>
      <c r="AT112" s="6" t="str">
        <f t="shared" si="11"/>
        <v/>
      </c>
      <c r="AU112" s="6"/>
      <c r="AV112" s="6"/>
      <c r="AW112" s="6"/>
      <c r="AX112" s="6"/>
      <c r="AY112" s="6"/>
      <c r="AZ112" s="20"/>
      <c r="BA112" s="20"/>
    </row>
    <row r="113" spans="1:53" s="38" customFormat="1" ht="15.75">
      <c r="A113" s="21">
        <v>82</v>
      </c>
      <c r="B113" s="22"/>
      <c r="C113" s="22"/>
      <c r="D113" s="22"/>
      <c r="E113" s="105"/>
      <c r="F113" s="105"/>
      <c r="G113" s="105"/>
      <c r="H113" s="105"/>
      <c r="I113" s="105"/>
      <c r="J113" s="105"/>
      <c r="K113" s="99"/>
      <c r="L113" s="100"/>
      <c r="M113" s="100"/>
      <c r="N113" s="101"/>
      <c r="O113" s="94"/>
      <c r="P113" s="95"/>
      <c r="Q113" s="96"/>
      <c r="R113" s="102"/>
      <c r="S113" s="103"/>
      <c r="T113" s="103"/>
      <c r="U113" s="104"/>
      <c r="V113" s="80"/>
      <c r="W113" s="81"/>
      <c r="X113" s="80"/>
      <c r="Y113" s="81"/>
      <c r="Z113" s="80"/>
      <c r="AA113" s="81"/>
      <c r="AB113" s="94"/>
      <c r="AC113" s="95"/>
      <c r="AD113" s="95"/>
      <c r="AE113" s="96"/>
      <c r="AF113" s="94"/>
      <c r="AG113" s="95"/>
      <c r="AH113" s="95"/>
      <c r="AI113" s="106"/>
      <c r="AJ113" s="106"/>
      <c r="AK113" s="106"/>
      <c r="AL113" s="106"/>
      <c r="AM113" s="22" t="str">
        <f t="shared" si="12"/>
        <v/>
      </c>
      <c r="AN113" s="23"/>
      <c r="AO113" s="24"/>
      <c r="AP113" s="63" t="str">
        <f t="shared" ref="AP113:AP131" si="13">IF(2&lt;=COUNTIF(E:E,E113),"・事業者名：重複","")&amp;IF(AND(E113&lt;&gt;"",R113=""),"・業種：未選択","")&amp;IF(AND(E113&lt;&gt;"",X113=""),"・従業員数：未入力","")</f>
        <v/>
      </c>
      <c r="AQ113" s="25"/>
      <c r="AR113" s="25"/>
      <c r="AS113" s="6" t="str">
        <f t="shared" si="10"/>
        <v/>
      </c>
      <c r="AT113" s="6" t="str">
        <f t="shared" si="11"/>
        <v/>
      </c>
      <c r="AU113" s="6"/>
      <c r="AV113" s="6"/>
      <c r="AW113" s="6"/>
      <c r="AX113" s="6"/>
      <c r="AY113" s="6"/>
      <c r="AZ113" s="20"/>
      <c r="BA113" s="20"/>
    </row>
    <row r="114" spans="1:53" s="38" customFormat="1" ht="15.75">
      <c r="A114" s="21">
        <v>83</v>
      </c>
      <c r="B114" s="22"/>
      <c r="C114" s="22"/>
      <c r="D114" s="22"/>
      <c r="E114" s="105"/>
      <c r="F114" s="105"/>
      <c r="G114" s="105"/>
      <c r="H114" s="105"/>
      <c r="I114" s="105"/>
      <c r="J114" s="105"/>
      <c r="K114" s="99"/>
      <c r="L114" s="100"/>
      <c r="M114" s="100"/>
      <c r="N114" s="101"/>
      <c r="O114" s="94"/>
      <c r="P114" s="95"/>
      <c r="Q114" s="96"/>
      <c r="R114" s="102"/>
      <c r="S114" s="103"/>
      <c r="T114" s="103"/>
      <c r="U114" s="104"/>
      <c r="V114" s="80"/>
      <c r="W114" s="81"/>
      <c r="X114" s="80"/>
      <c r="Y114" s="81"/>
      <c r="Z114" s="80"/>
      <c r="AA114" s="81"/>
      <c r="AB114" s="94"/>
      <c r="AC114" s="95"/>
      <c r="AD114" s="95"/>
      <c r="AE114" s="96"/>
      <c r="AF114" s="94"/>
      <c r="AG114" s="95"/>
      <c r="AH114" s="95"/>
      <c r="AI114" s="106"/>
      <c r="AJ114" s="106"/>
      <c r="AK114" s="106"/>
      <c r="AL114" s="106"/>
      <c r="AM114" s="22" t="str">
        <f t="shared" si="12"/>
        <v/>
      </c>
      <c r="AN114" s="23"/>
      <c r="AO114" s="24"/>
      <c r="AP114" s="63" t="str">
        <f t="shared" si="13"/>
        <v/>
      </c>
      <c r="AQ114" s="25"/>
      <c r="AR114" s="25"/>
      <c r="AS114" s="6" t="str">
        <f t="shared" si="10"/>
        <v/>
      </c>
      <c r="AT114" s="6" t="str">
        <f t="shared" si="11"/>
        <v/>
      </c>
      <c r="AU114" s="6"/>
      <c r="AV114" s="6"/>
      <c r="AW114" s="6"/>
      <c r="AX114" s="6"/>
      <c r="AY114" s="6"/>
      <c r="AZ114" s="20"/>
      <c r="BA114" s="20"/>
    </row>
    <row r="115" spans="1:53" s="38" customFormat="1" ht="15.75">
      <c r="A115" s="21">
        <v>84</v>
      </c>
      <c r="B115" s="22"/>
      <c r="C115" s="22"/>
      <c r="D115" s="22"/>
      <c r="E115" s="105"/>
      <c r="F115" s="105"/>
      <c r="G115" s="105"/>
      <c r="H115" s="105"/>
      <c r="I115" s="105"/>
      <c r="J115" s="105"/>
      <c r="K115" s="99"/>
      <c r="L115" s="100"/>
      <c r="M115" s="100"/>
      <c r="N115" s="101"/>
      <c r="O115" s="94"/>
      <c r="P115" s="95"/>
      <c r="Q115" s="96"/>
      <c r="R115" s="102"/>
      <c r="S115" s="103"/>
      <c r="T115" s="103"/>
      <c r="U115" s="104"/>
      <c r="V115" s="80"/>
      <c r="W115" s="81"/>
      <c r="X115" s="80"/>
      <c r="Y115" s="81"/>
      <c r="Z115" s="80"/>
      <c r="AA115" s="81"/>
      <c r="AB115" s="94"/>
      <c r="AC115" s="95"/>
      <c r="AD115" s="95"/>
      <c r="AE115" s="96"/>
      <c r="AF115" s="94"/>
      <c r="AG115" s="95"/>
      <c r="AH115" s="95"/>
      <c r="AI115" s="106"/>
      <c r="AJ115" s="106"/>
      <c r="AK115" s="106"/>
      <c r="AL115" s="106"/>
      <c r="AM115" s="22" t="str">
        <f t="shared" si="12"/>
        <v/>
      </c>
      <c r="AN115" s="23"/>
      <c r="AO115" s="24"/>
      <c r="AP115" s="63" t="str">
        <f t="shared" si="13"/>
        <v/>
      </c>
      <c r="AQ115" s="25"/>
      <c r="AR115" s="25"/>
      <c r="AS115" s="6" t="str">
        <f t="shared" si="10"/>
        <v/>
      </c>
      <c r="AT115" s="6" t="str">
        <f t="shared" si="11"/>
        <v/>
      </c>
      <c r="AU115" s="6"/>
      <c r="AV115" s="6"/>
      <c r="AW115" s="6"/>
      <c r="AX115" s="6"/>
      <c r="AY115" s="6"/>
      <c r="AZ115" s="20"/>
      <c r="BA115" s="20"/>
    </row>
    <row r="116" spans="1:53" s="38" customFormat="1" ht="15.75">
      <c r="A116" s="21">
        <v>85</v>
      </c>
      <c r="B116" s="22"/>
      <c r="C116" s="22"/>
      <c r="D116" s="22"/>
      <c r="E116" s="105"/>
      <c r="F116" s="105"/>
      <c r="G116" s="105"/>
      <c r="H116" s="105"/>
      <c r="I116" s="105"/>
      <c r="J116" s="105"/>
      <c r="K116" s="99"/>
      <c r="L116" s="100"/>
      <c r="M116" s="100"/>
      <c r="N116" s="101"/>
      <c r="O116" s="94"/>
      <c r="P116" s="95"/>
      <c r="Q116" s="96"/>
      <c r="R116" s="102"/>
      <c r="S116" s="103"/>
      <c r="T116" s="103"/>
      <c r="U116" s="104"/>
      <c r="V116" s="80"/>
      <c r="W116" s="81"/>
      <c r="X116" s="80"/>
      <c r="Y116" s="81"/>
      <c r="Z116" s="80"/>
      <c r="AA116" s="81"/>
      <c r="AB116" s="94"/>
      <c r="AC116" s="95"/>
      <c r="AD116" s="95"/>
      <c r="AE116" s="96"/>
      <c r="AF116" s="94"/>
      <c r="AG116" s="95"/>
      <c r="AH116" s="95"/>
      <c r="AI116" s="106"/>
      <c r="AJ116" s="106"/>
      <c r="AK116" s="106"/>
      <c r="AL116" s="106"/>
      <c r="AM116" s="22" t="str">
        <f t="shared" si="12"/>
        <v/>
      </c>
      <c r="AN116" s="23"/>
      <c r="AO116" s="24"/>
      <c r="AP116" s="63" t="str">
        <f t="shared" si="13"/>
        <v/>
      </c>
      <c r="AQ116" s="25"/>
      <c r="AR116" s="25"/>
      <c r="AS116" s="6" t="str">
        <f t="shared" si="10"/>
        <v/>
      </c>
      <c r="AT116" s="6" t="str">
        <f t="shared" si="11"/>
        <v/>
      </c>
      <c r="AU116" s="6"/>
      <c r="AV116" s="6"/>
      <c r="AW116" s="6"/>
      <c r="AX116" s="6"/>
      <c r="AY116" s="6"/>
      <c r="AZ116" s="20"/>
      <c r="BA116" s="20"/>
    </row>
    <row r="117" spans="1:53" s="38" customFormat="1" ht="15.75">
      <c r="A117" s="21">
        <v>86</v>
      </c>
      <c r="B117" s="22"/>
      <c r="C117" s="22"/>
      <c r="D117" s="22"/>
      <c r="E117" s="105"/>
      <c r="F117" s="105"/>
      <c r="G117" s="105"/>
      <c r="H117" s="105"/>
      <c r="I117" s="105"/>
      <c r="J117" s="105"/>
      <c r="K117" s="99"/>
      <c r="L117" s="100"/>
      <c r="M117" s="100"/>
      <c r="N117" s="101"/>
      <c r="O117" s="94"/>
      <c r="P117" s="95"/>
      <c r="Q117" s="96"/>
      <c r="R117" s="102"/>
      <c r="S117" s="103"/>
      <c r="T117" s="103"/>
      <c r="U117" s="104"/>
      <c r="V117" s="80"/>
      <c r="W117" s="81"/>
      <c r="X117" s="80"/>
      <c r="Y117" s="81"/>
      <c r="Z117" s="80"/>
      <c r="AA117" s="81"/>
      <c r="AB117" s="94"/>
      <c r="AC117" s="95"/>
      <c r="AD117" s="95"/>
      <c r="AE117" s="96"/>
      <c r="AF117" s="94"/>
      <c r="AG117" s="95"/>
      <c r="AH117" s="95"/>
      <c r="AI117" s="106"/>
      <c r="AJ117" s="106"/>
      <c r="AK117" s="106"/>
      <c r="AL117" s="106"/>
      <c r="AM117" s="22" t="str">
        <f t="shared" si="12"/>
        <v/>
      </c>
      <c r="AN117" s="23"/>
      <c r="AO117" s="24"/>
      <c r="AP117" s="63" t="str">
        <f t="shared" si="13"/>
        <v/>
      </c>
      <c r="AQ117" s="25"/>
      <c r="AR117" s="25"/>
      <c r="AS117" s="6" t="str">
        <f t="shared" si="10"/>
        <v/>
      </c>
      <c r="AT117" s="6" t="str">
        <f t="shared" si="11"/>
        <v/>
      </c>
      <c r="AU117" s="6"/>
      <c r="AV117" s="6"/>
      <c r="AW117" s="6"/>
      <c r="AX117" s="6"/>
      <c r="AY117" s="6"/>
      <c r="AZ117" s="20"/>
      <c r="BA117" s="20"/>
    </row>
    <row r="118" spans="1:53" s="38" customFormat="1" ht="15.75">
      <c r="A118" s="21">
        <v>87</v>
      </c>
      <c r="B118" s="22"/>
      <c r="C118" s="22"/>
      <c r="D118" s="22"/>
      <c r="E118" s="105"/>
      <c r="F118" s="105"/>
      <c r="G118" s="105"/>
      <c r="H118" s="105"/>
      <c r="I118" s="105"/>
      <c r="J118" s="105"/>
      <c r="K118" s="99"/>
      <c r="L118" s="100"/>
      <c r="M118" s="100"/>
      <c r="N118" s="101"/>
      <c r="O118" s="94"/>
      <c r="P118" s="95"/>
      <c r="Q118" s="96"/>
      <c r="R118" s="102"/>
      <c r="S118" s="103"/>
      <c r="T118" s="103"/>
      <c r="U118" s="104"/>
      <c r="V118" s="80"/>
      <c r="W118" s="81"/>
      <c r="X118" s="80"/>
      <c r="Y118" s="81"/>
      <c r="Z118" s="80"/>
      <c r="AA118" s="81"/>
      <c r="AB118" s="94"/>
      <c r="AC118" s="95"/>
      <c r="AD118" s="95"/>
      <c r="AE118" s="96"/>
      <c r="AF118" s="94"/>
      <c r="AG118" s="95"/>
      <c r="AH118" s="95"/>
      <c r="AI118" s="106"/>
      <c r="AJ118" s="106"/>
      <c r="AK118" s="106"/>
      <c r="AL118" s="106"/>
      <c r="AM118" s="22" t="str">
        <f t="shared" si="12"/>
        <v/>
      </c>
      <c r="AN118" s="23"/>
      <c r="AO118" s="24"/>
      <c r="AP118" s="63" t="str">
        <f t="shared" si="13"/>
        <v/>
      </c>
      <c r="AQ118" s="25"/>
      <c r="AR118" s="25"/>
      <c r="AS118" s="6" t="str">
        <f t="shared" si="10"/>
        <v/>
      </c>
      <c r="AT118" s="6" t="str">
        <f t="shared" si="11"/>
        <v/>
      </c>
      <c r="AU118" s="6"/>
      <c r="AV118" s="6"/>
      <c r="AW118" s="6"/>
      <c r="AX118" s="6"/>
      <c r="AY118" s="6"/>
      <c r="AZ118" s="20"/>
      <c r="BA118" s="20"/>
    </row>
    <row r="119" spans="1:53" s="38" customFormat="1" ht="15.75">
      <c r="A119" s="21">
        <v>88</v>
      </c>
      <c r="B119" s="22"/>
      <c r="C119" s="22"/>
      <c r="D119" s="22"/>
      <c r="E119" s="105"/>
      <c r="F119" s="105"/>
      <c r="G119" s="105"/>
      <c r="H119" s="105"/>
      <c r="I119" s="105"/>
      <c r="J119" s="105"/>
      <c r="K119" s="99"/>
      <c r="L119" s="100"/>
      <c r="M119" s="100"/>
      <c r="N119" s="101"/>
      <c r="O119" s="94"/>
      <c r="P119" s="95"/>
      <c r="Q119" s="96"/>
      <c r="R119" s="102"/>
      <c r="S119" s="103"/>
      <c r="T119" s="103"/>
      <c r="U119" s="104"/>
      <c r="V119" s="80"/>
      <c r="W119" s="81"/>
      <c r="X119" s="80"/>
      <c r="Y119" s="81"/>
      <c r="Z119" s="80"/>
      <c r="AA119" s="81"/>
      <c r="AB119" s="94"/>
      <c r="AC119" s="95"/>
      <c r="AD119" s="95"/>
      <c r="AE119" s="96"/>
      <c r="AF119" s="94"/>
      <c r="AG119" s="95"/>
      <c r="AH119" s="95"/>
      <c r="AI119" s="106"/>
      <c r="AJ119" s="106"/>
      <c r="AK119" s="106"/>
      <c r="AL119" s="106"/>
      <c r="AM119" s="22" t="str">
        <f t="shared" si="12"/>
        <v/>
      </c>
      <c r="AN119" s="23"/>
      <c r="AO119" s="24"/>
      <c r="AP119" s="63" t="str">
        <f t="shared" si="13"/>
        <v/>
      </c>
      <c r="AQ119" s="25"/>
      <c r="AR119" s="25"/>
      <c r="AS119" s="6" t="str">
        <f t="shared" si="10"/>
        <v/>
      </c>
      <c r="AT119" s="6" t="str">
        <f t="shared" si="11"/>
        <v/>
      </c>
      <c r="AU119" s="6"/>
      <c r="AV119" s="6"/>
      <c r="AW119" s="6"/>
      <c r="AX119" s="6"/>
      <c r="AY119" s="6"/>
      <c r="AZ119" s="20"/>
      <c r="BA119" s="20"/>
    </row>
    <row r="120" spans="1:53" s="38" customFormat="1" ht="15.75">
      <c r="A120" s="21">
        <v>89</v>
      </c>
      <c r="B120" s="22"/>
      <c r="C120" s="22"/>
      <c r="D120" s="22"/>
      <c r="E120" s="105"/>
      <c r="F120" s="105"/>
      <c r="G120" s="105"/>
      <c r="H120" s="105"/>
      <c r="I120" s="105"/>
      <c r="J120" s="105"/>
      <c r="K120" s="99"/>
      <c r="L120" s="100"/>
      <c r="M120" s="100"/>
      <c r="N120" s="101"/>
      <c r="O120" s="94"/>
      <c r="P120" s="95"/>
      <c r="Q120" s="96"/>
      <c r="R120" s="102"/>
      <c r="S120" s="103"/>
      <c r="T120" s="103"/>
      <c r="U120" s="104"/>
      <c r="V120" s="80"/>
      <c r="W120" s="81"/>
      <c r="X120" s="80"/>
      <c r="Y120" s="81"/>
      <c r="Z120" s="80"/>
      <c r="AA120" s="81"/>
      <c r="AB120" s="94"/>
      <c r="AC120" s="95"/>
      <c r="AD120" s="95"/>
      <c r="AE120" s="96"/>
      <c r="AF120" s="94"/>
      <c r="AG120" s="95"/>
      <c r="AH120" s="95"/>
      <c r="AI120" s="106"/>
      <c r="AJ120" s="106"/>
      <c r="AK120" s="106"/>
      <c r="AL120" s="106"/>
      <c r="AM120" s="22" t="str">
        <f t="shared" si="12"/>
        <v/>
      </c>
      <c r="AN120" s="23"/>
      <c r="AO120" s="24"/>
      <c r="AP120" s="63" t="str">
        <f t="shared" si="13"/>
        <v/>
      </c>
      <c r="AQ120" s="25"/>
      <c r="AR120" s="25"/>
      <c r="AS120" s="6" t="str">
        <f t="shared" si="10"/>
        <v/>
      </c>
      <c r="AT120" s="6" t="str">
        <f t="shared" si="11"/>
        <v/>
      </c>
      <c r="AU120" s="6"/>
      <c r="AV120" s="6"/>
      <c r="AW120" s="6"/>
      <c r="AX120" s="6"/>
      <c r="AY120" s="6"/>
      <c r="AZ120" s="20"/>
      <c r="BA120" s="20"/>
    </row>
    <row r="121" spans="1:53" s="38" customFormat="1" ht="15.75">
      <c r="A121" s="21">
        <v>90</v>
      </c>
      <c r="B121" s="22"/>
      <c r="C121" s="22"/>
      <c r="D121" s="22"/>
      <c r="E121" s="105"/>
      <c r="F121" s="105"/>
      <c r="G121" s="105"/>
      <c r="H121" s="105"/>
      <c r="I121" s="105"/>
      <c r="J121" s="105"/>
      <c r="K121" s="99"/>
      <c r="L121" s="100"/>
      <c r="M121" s="100"/>
      <c r="N121" s="101"/>
      <c r="O121" s="94"/>
      <c r="P121" s="95"/>
      <c r="Q121" s="96"/>
      <c r="R121" s="102"/>
      <c r="S121" s="103"/>
      <c r="T121" s="103"/>
      <c r="U121" s="104"/>
      <c r="V121" s="80"/>
      <c r="W121" s="81"/>
      <c r="X121" s="80"/>
      <c r="Y121" s="81"/>
      <c r="Z121" s="80"/>
      <c r="AA121" s="81"/>
      <c r="AB121" s="94"/>
      <c r="AC121" s="95"/>
      <c r="AD121" s="95"/>
      <c r="AE121" s="96"/>
      <c r="AF121" s="94"/>
      <c r="AG121" s="95"/>
      <c r="AH121" s="95"/>
      <c r="AI121" s="106"/>
      <c r="AJ121" s="106"/>
      <c r="AK121" s="106"/>
      <c r="AL121" s="106"/>
      <c r="AM121" s="22" t="str">
        <f t="shared" si="12"/>
        <v/>
      </c>
      <c r="AN121" s="23"/>
      <c r="AO121" s="24"/>
      <c r="AP121" s="63" t="str">
        <f t="shared" si="13"/>
        <v/>
      </c>
      <c r="AQ121" s="25"/>
      <c r="AR121" s="25"/>
      <c r="AS121" s="6" t="str">
        <f t="shared" si="10"/>
        <v/>
      </c>
      <c r="AT121" s="6" t="str">
        <f t="shared" si="11"/>
        <v/>
      </c>
      <c r="AU121" s="6"/>
      <c r="AV121" s="6"/>
      <c r="AW121" s="6"/>
      <c r="AX121" s="6"/>
      <c r="AY121" s="6"/>
      <c r="AZ121" s="20"/>
      <c r="BA121" s="20"/>
    </row>
    <row r="122" spans="1:53" s="38" customFormat="1" ht="15.75">
      <c r="A122" s="21">
        <v>91</v>
      </c>
      <c r="B122" s="22"/>
      <c r="C122" s="22"/>
      <c r="D122" s="22"/>
      <c r="E122" s="105"/>
      <c r="F122" s="105"/>
      <c r="G122" s="105"/>
      <c r="H122" s="105"/>
      <c r="I122" s="105"/>
      <c r="J122" s="105"/>
      <c r="K122" s="99"/>
      <c r="L122" s="100"/>
      <c r="M122" s="100"/>
      <c r="N122" s="101"/>
      <c r="O122" s="94"/>
      <c r="P122" s="95"/>
      <c r="Q122" s="96"/>
      <c r="R122" s="102"/>
      <c r="S122" s="103"/>
      <c r="T122" s="103"/>
      <c r="U122" s="104"/>
      <c r="V122" s="80"/>
      <c r="W122" s="81"/>
      <c r="X122" s="80"/>
      <c r="Y122" s="81"/>
      <c r="Z122" s="80"/>
      <c r="AA122" s="81"/>
      <c r="AB122" s="94"/>
      <c r="AC122" s="95"/>
      <c r="AD122" s="95"/>
      <c r="AE122" s="96"/>
      <c r="AF122" s="94"/>
      <c r="AG122" s="95"/>
      <c r="AH122" s="95"/>
      <c r="AI122" s="106"/>
      <c r="AJ122" s="106"/>
      <c r="AK122" s="106"/>
      <c r="AL122" s="106"/>
      <c r="AM122" s="22" t="str">
        <f t="shared" si="12"/>
        <v/>
      </c>
      <c r="AN122" s="23"/>
      <c r="AO122" s="24"/>
      <c r="AP122" s="63" t="str">
        <f t="shared" si="13"/>
        <v/>
      </c>
      <c r="AQ122" s="25"/>
      <c r="AR122" s="25"/>
      <c r="AS122" s="6" t="str">
        <f t="shared" si="10"/>
        <v/>
      </c>
      <c r="AT122" s="6" t="str">
        <f t="shared" si="11"/>
        <v/>
      </c>
      <c r="AU122" s="6"/>
      <c r="AV122" s="6"/>
      <c r="AW122" s="6"/>
      <c r="AX122" s="6"/>
      <c r="AY122" s="6"/>
      <c r="AZ122" s="20"/>
      <c r="BA122" s="20"/>
    </row>
    <row r="123" spans="1:53" s="38" customFormat="1" ht="15.75">
      <c r="A123" s="21">
        <v>92</v>
      </c>
      <c r="B123" s="22"/>
      <c r="C123" s="22"/>
      <c r="D123" s="22"/>
      <c r="E123" s="105"/>
      <c r="F123" s="105"/>
      <c r="G123" s="105"/>
      <c r="H123" s="105"/>
      <c r="I123" s="105"/>
      <c r="J123" s="105"/>
      <c r="K123" s="99"/>
      <c r="L123" s="100"/>
      <c r="M123" s="100"/>
      <c r="N123" s="101"/>
      <c r="O123" s="94"/>
      <c r="P123" s="95"/>
      <c r="Q123" s="96"/>
      <c r="R123" s="102"/>
      <c r="S123" s="103"/>
      <c r="T123" s="103"/>
      <c r="U123" s="104"/>
      <c r="V123" s="80"/>
      <c r="W123" s="81"/>
      <c r="X123" s="80"/>
      <c r="Y123" s="81"/>
      <c r="Z123" s="80"/>
      <c r="AA123" s="81"/>
      <c r="AB123" s="94"/>
      <c r="AC123" s="95"/>
      <c r="AD123" s="95"/>
      <c r="AE123" s="96"/>
      <c r="AF123" s="94"/>
      <c r="AG123" s="95"/>
      <c r="AH123" s="95"/>
      <c r="AI123" s="106"/>
      <c r="AJ123" s="106"/>
      <c r="AK123" s="106"/>
      <c r="AL123" s="106"/>
      <c r="AM123" s="22" t="str">
        <f t="shared" si="12"/>
        <v/>
      </c>
      <c r="AN123" s="23"/>
      <c r="AO123" s="24"/>
      <c r="AP123" s="63" t="str">
        <f t="shared" si="13"/>
        <v/>
      </c>
      <c r="AQ123" s="25"/>
      <c r="AR123" s="25"/>
      <c r="AS123" s="6" t="str">
        <f t="shared" si="10"/>
        <v/>
      </c>
      <c r="AT123" s="6" t="str">
        <f t="shared" si="11"/>
        <v/>
      </c>
      <c r="AU123" s="6"/>
      <c r="AV123" s="6"/>
      <c r="AW123" s="6"/>
      <c r="AX123" s="6"/>
      <c r="AY123" s="6"/>
      <c r="AZ123" s="20"/>
      <c r="BA123" s="20"/>
    </row>
    <row r="124" spans="1:53" s="38" customFormat="1" ht="15.75">
      <c r="A124" s="21">
        <v>93</v>
      </c>
      <c r="B124" s="22"/>
      <c r="C124" s="22"/>
      <c r="D124" s="22"/>
      <c r="E124" s="105"/>
      <c r="F124" s="105"/>
      <c r="G124" s="105"/>
      <c r="H124" s="105"/>
      <c r="I124" s="105"/>
      <c r="J124" s="105"/>
      <c r="K124" s="99"/>
      <c r="L124" s="100"/>
      <c r="M124" s="100"/>
      <c r="N124" s="101"/>
      <c r="O124" s="94"/>
      <c r="P124" s="95"/>
      <c r="Q124" s="96"/>
      <c r="R124" s="102"/>
      <c r="S124" s="103"/>
      <c r="T124" s="103"/>
      <c r="U124" s="104"/>
      <c r="V124" s="80"/>
      <c r="W124" s="81"/>
      <c r="X124" s="80"/>
      <c r="Y124" s="81"/>
      <c r="Z124" s="80"/>
      <c r="AA124" s="81"/>
      <c r="AB124" s="94"/>
      <c r="AC124" s="95"/>
      <c r="AD124" s="95"/>
      <c r="AE124" s="96"/>
      <c r="AF124" s="94"/>
      <c r="AG124" s="95"/>
      <c r="AH124" s="95"/>
      <c r="AI124" s="106"/>
      <c r="AJ124" s="106"/>
      <c r="AK124" s="106"/>
      <c r="AL124" s="106"/>
      <c r="AM124" s="22" t="str">
        <f t="shared" si="12"/>
        <v/>
      </c>
      <c r="AN124" s="23"/>
      <c r="AO124" s="24"/>
      <c r="AP124" s="63" t="str">
        <f t="shared" si="13"/>
        <v/>
      </c>
      <c r="AQ124" s="25"/>
      <c r="AR124" s="25"/>
      <c r="AS124" s="6" t="str">
        <f t="shared" si="10"/>
        <v/>
      </c>
      <c r="AT124" s="6" t="str">
        <f t="shared" si="11"/>
        <v/>
      </c>
      <c r="AU124" s="6"/>
      <c r="AV124" s="6"/>
      <c r="AW124" s="6"/>
      <c r="AX124" s="6"/>
      <c r="AY124" s="6"/>
      <c r="AZ124" s="20"/>
      <c r="BA124" s="20"/>
    </row>
    <row r="125" spans="1:53" s="38" customFormat="1" ht="15.75">
      <c r="A125" s="21">
        <v>94</v>
      </c>
      <c r="B125" s="22"/>
      <c r="C125" s="22"/>
      <c r="D125" s="22"/>
      <c r="E125" s="105"/>
      <c r="F125" s="105"/>
      <c r="G125" s="105"/>
      <c r="H125" s="105"/>
      <c r="I125" s="105"/>
      <c r="J125" s="105"/>
      <c r="K125" s="99"/>
      <c r="L125" s="100"/>
      <c r="M125" s="100"/>
      <c r="N125" s="101"/>
      <c r="O125" s="94"/>
      <c r="P125" s="95"/>
      <c r="Q125" s="96"/>
      <c r="R125" s="102"/>
      <c r="S125" s="103"/>
      <c r="T125" s="103"/>
      <c r="U125" s="104"/>
      <c r="V125" s="80"/>
      <c r="W125" s="81"/>
      <c r="X125" s="80"/>
      <c r="Y125" s="81"/>
      <c r="Z125" s="80"/>
      <c r="AA125" s="81"/>
      <c r="AB125" s="94"/>
      <c r="AC125" s="95"/>
      <c r="AD125" s="95"/>
      <c r="AE125" s="96"/>
      <c r="AF125" s="94"/>
      <c r="AG125" s="95"/>
      <c r="AH125" s="95"/>
      <c r="AI125" s="106"/>
      <c r="AJ125" s="106"/>
      <c r="AK125" s="106"/>
      <c r="AL125" s="106"/>
      <c r="AM125" s="22" t="str">
        <f t="shared" si="12"/>
        <v/>
      </c>
      <c r="AN125" s="23"/>
      <c r="AO125" s="24"/>
      <c r="AP125" s="63" t="str">
        <f t="shared" si="13"/>
        <v/>
      </c>
      <c r="AQ125" s="25"/>
      <c r="AR125" s="25"/>
      <c r="AS125" s="6" t="str">
        <f t="shared" si="10"/>
        <v/>
      </c>
      <c r="AT125" s="6" t="str">
        <f t="shared" si="11"/>
        <v/>
      </c>
      <c r="AU125" s="6"/>
      <c r="AV125" s="6"/>
      <c r="AW125" s="6"/>
      <c r="AX125" s="6"/>
      <c r="AY125" s="6"/>
      <c r="AZ125" s="20"/>
      <c r="BA125" s="20"/>
    </row>
    <row r="126" spans="1:53" s="38" customFormat="1" ht="15.75">
      <c r="A126" s="21">
        <v>95</v>
      </c>
      <c r="B126" s="22"/>
      <c r="C126" s="22"/>
      <c r="D126" s="22"/>
      <c r="E126" s="105"/>
      <c r="F126" s="105"/>
      <c r="G126" s="105"/>
      <c r="H126" s="105"/>
      <c r="I126" s="105"/>
      <c r="J126" s="105"/>
      <c r="K126" s="99"/>
      <c r="L126" s="100"/>
      <c r="M126" s="100"/>
      <c r="N126" s="101"/>
      <c r="O126" s="94"/>
      <c r="P126" s="95"/>
      <c r="Q126" s="96"/>
      <c r="R126" s="102"/>
      <c r="S126" s="103"/>
      <c r="T126" s="103"/>
      <c r="U126" s="104"/>
      <c r="V126" s="80"/>
      <c r="W126" s="81"/>
      <c r="X126" s="80"/>
      <c r="Y126" s="81"/>
      <c r="Z126" s="80"/>
      <c r="AA126" s="81"/>
      <c r="AB126" s="94"/>
      <c r="AC126" s="95"/>
      <c r="AD126" s="95"/>
      <c r="AE126" s="96"/>
      <c r="AF126" s="94"/>
      <c r="AG126" s="95"/>
      <c r="AH126" s="95"/>
      <c r="AI126" s="106"/>
      <c r="AJ126" s="106"/>
      <c r="AK126" s="106"/>
      <c r="AL126" s="106"/>
      <c r="AM126" s="22" t="str">
        <f t="shared" si="12"/>
        <v/>
      </c>
      <c r="AN126" s="23"/>
      <c r="AO126" s="24"/>
      <c r="AP126" s="63" t="str">
        <f t="shared" si="13"/>
        <v/>
      </c>
      <c r="AQ126" s="25"/>
      <c r="AR126" s="25"/>
      <c r="AS126" s="6" t="str">
        <f t="shared" si="10"/>
        <v/>
      </c>
      <c r="AT126" s="6" t="str">
        <f t="shared" si="11"/>
        <v/>
      </c>
      <c r="AU126" s="6"/>
      <c r="AV126" s="6"/>
      <c r="AW126" s="6"/>
      <c r="AX126" s="6"/>
      <c r="AY126" s="6"/>
      <c r="AZ126" s="20"/>
      <c r="BA126" s="20"/>
    </row>
    <row r="127" spans="1:53" s="38" customFormat="1" ht="15.75">
      <c r="A127" s="21">
        <v>96</v>
      </c>
      <c r="B127" s="22"/>
      <c r="C127" s="22"/>
      <c r="D127" s="22"/>
      <c r="E127" s="105"/>
      <c r="F127" s="105"/>
      <c r="G127" s="105"/>
      <c r="H127" s="105"/>
      <c r="I127" s="105"/>
      <c r="J127" s="105"/>
      <c r="K127" s="99"/>
      <c r="L127" s="100"/>
      <c r="M127" s="100"/>
      <c r="N127" s="101"/>
      <c r="O127" s="94"/>
      <c r="P127" s="95"/>
      <c r="Q127" s="96"/>
      <c r="R127" s="102"/>
      <c r="S127" s="103"/>
      <c r="T127" s="103"/>
      <c r="U127" s="104"/>
      <c r="V127" s="80"/>
      <c r="W127" s="81"/>
      <c r="X127" s="80"/>
      <c r="Y127" s="81"/>
      <c r="Z127" s="80"/>
      <c r="AA127" s="81"/>
      <c r="AB127" s="94"/>
      <c r="AC127" s="95"/>
      <c r="AD127" s="95"/>
      <c r="AE127" s="96"/>
      <c r="AF127" s="94"/>
      <c r="AG127" s="95"/>
      <c r="AH127" s="95"/>
      <c r="AI127" s="106"/>
      <c r="AJ127" s="106"/>
      <c r="AK127" s="106"/>
      <c r="AL127" s="106"/>
      <c r="AM127" s="22" t="str">
        <f t="shared" si="12"/>
        <v/>
      </c>
      <c r="AN127" s="23"/>
      <c r="AO127" s="24"/>
      <c r="AP127" s="63" t="str">
        <f t="shared" si="13"/>
        <v/>
      </c>
      <c r="AQ127" s="25"/>
      <c r="AR127" s="25"/>
      <c r="AS127" s="6" t="str">
        <f t="shared" si="10"/>
        <v/>
      </c>
      <c r="AT127" s="6" t="str">
        <f t="shared" si="11"/>
        <v/>
      </c>
      <c r="AU127" s="6"/>
      <c r="AV127" s="6"/>
      <c r="AW127" s="6"/>
      <c r="AX127" s="6"/>
      <c r="AY127" s="6"/>
      <c r="AZ127" s="20"/>
      <c r="BA127" s="20"/>
    </row>
    <row r="128" spans="1:53" s="38" customFormat="1" ht="15.75">
      <c r="A128" s="21">
        <v>97</v>
      </c>
      <c r="B128" s="22"/>
      <c r="C128" s="22"/>
      <c r="D128" s="22"/>
      <c r="E128" s="105"/>
      <c r="F128" s="105"/>
      <c r="G128" s="105"/>
      <c r="H128" s="105"/>
      <c r="I128" s="105"/>
      <c r="J128" s="105"/>
      <c r="K128" s="99"/>
      <c r="L128" s="100"/>
      <c r="M128" s="100"/>
      <c r="N128" s="101"/>
      <c r="O128" s="94"/>
      <c r="P128" s="95"/>
      <c r="Q128" s="96"/>
      <c r="R128" s="102"/>
      <c r="S128" s="103"/>
      <c r="T128" s="103"/>
      <c r="U128" s="104"/>
      <c r="V128" s="80"/>
      <c r="W128" s="81"/>
      <c r="X128" s="80"/>
      <c r="Y128" s="81"/>
      <c r="Z128" s="80"/>
      <c r="AA128" s="81"/>
      <c r="AB128" s="94"/>
      <c r="AC128" s="95"/>
      <c r="AD128" s="95"/>
      <c r="AE128" s="96"/>
      <c r="AF128" s="94"/>
      <c r="AG128" s="95"/>
      <c r="AH128" s="95"/>
      <c r="AI128" s="106"/>
      <c r="AJ128" s="106"/>
      <c r="AK128" s="106"/>
      <c r="AL128" s="106"/>
      <c r="AM128" s="22" t="str">
        <f t="shared" si="12"/>
        <v/>
      </c>
      <c r="AN128" s="23"/>
      <c r="AO128" s="24"/>
      <c r="AP128" s="63" t="str">
        <f t="shared" si="13"/>
        <v/>
      </c>
      <c r="AQ128" s="25"/>
      <c r="AR128" s="25"/>
      <c r="AS128" s="6" t="str">
        <f t="shared" si="10"/>
        <v/>
      </c>
      <c r="AT128" s="6" t="str">
        <f t="shared" si="11"/>
        <v/>
      </c>
      <c r="AU128" s="6"/>
      <c r="AV128" s="6"/>
      <c r="AW128" s="6"/>
      <c r="AX128" s="6"/>
      <c r="AY128" s="6"/>
      <c r="AZ128" s="20"/>
      <c r="BA128" s="20"/>
    </row>
    <row r="129" spans="1:53" s="38" customFormat="1" ht="15.75">
      <c r="A129" s="21">
        <v>98</v>
      </c>
      <c r="B129" s="22"/>
      <c r="C129" s="22"/>
      <c r="D129" s="22"/>
      <c r="E129" s="105"/>
      <c r="F129" s="105"/>
      <c r="G129" s="105"/>
      <c r="H129" s="105"/>
      <c r="I129" s="105"/>
      <c r="J129" s="105"/>
      <c r="K129" s="99"/>
      <c r="L129" s="100"/>
      <c r="M129" s="100"/>
      <c r="N129" s="101"/>
      <c r="O129" s="94"/>
      <c r="P129" s="95"/>
      <c r="Q129" s="96"/>
      <c r="R129" s="102"/>
      <c r="S129" s="103"/>
      <c r="T129" s="103"/>
      <c r="U129" s="104"/>
      <c r="V129" s="80"/>
      <c r="W129" s="81"/>
      <c r="X129" s="80"/>
      <c r="Y129" s="81"/>
      <c r="Z129" s="80"/>
      <c r="AA129" s="81"/>
      <c r="AB129" s="94"/>
      <c r="AC129" s="95"/>
      <c r="AD129" s="95"/>
      <c r="AE129" s="96"/>
      <c r="AF129" s="94"/>
      <c r="AG129" s="95"/>
      <c r="AH129" s="95"/>
      <c r="AI129" s="106"/>
      <c r="AJ129" s="106"/>
      <c r="AK129" s="106"/>
      <c r="AL129" s="106"/>
      <c r="AM129" s="22" t="str">
        <f t="shared" si="12"/>
        <v/>
      </c>
      <c r="AN129" s="23"/>
      <c r="AO129" s="24"/>
      <c r="AP129" s="63" t="str">
        <f t="shared" si="13"/>
        <v/>
      </c>
      <c r="AQ129" s="25"/>
      <c r="AR129" s="25"/>
      <c r="AS129" s="6" t="str">
        <f t="shared" si="10"/>
        <v/>
      </c>
      <c r="AT129" s="6" t="str">
        <f t="shared" si="11"/>
        <v/>
      </c>
      <c r="AU129" s="6"/>
      <c r="AV129" s="6"/>
      <c r="AW129" s="6"/>
      <c r="AX129" s="6"/>
      <c r="AY129" s="6"/>
      <c r="AZ129" s="20"/>
      <c r="BA129" s="20"/>
    </row>
    <row r="130" spans="1:53" s="38" customFormat="1" ht="15.75">
      <c r="A130" s="21">
        <v>99</v>
      </c>
      <c r="B130" s="22"/>
      <c r="C130" s="22"/>
      <c r="D130" s="22"/>
      <c r="E130" s="105"/>
      <c r="F130" s="105"/>
      <c r="G130" s="105"/>
      <c r="H130" s="105"/>
      <c r="I130" s="105"/>
      <c r="J130" s="105"/>
      <c r="K130" s="99"/>
      <c r="L130" s="100"/>
      <c r="M130" s="100"/>
      <c r="N130" s="101"/>
      <c r="O130" s="94"/>
      <c r="P130" s="95"/>
      <c r="Q130" s="96"/>
      <c r="R130" s="102"/>
      <c r="S130" s="103"/>
      <c r="T130" s="103"/>
      <c r="U130" s="104"/>
      <c r="V130" s="80"/>
      <c r="W130" s="81"/>
      <c r="X130" s="80"/>
      <c r="Y130" s="81"/>
      <c r="Z130" s="80"/>
      <c r="AA130" s="81"/>
      <c r="AB130" s="94"/>
      <c r="AC130" s="95"/>
      <c r="AD130" s="95"/>
      <c r="AE130" s="96"/>
      <c r="AF130" s="94"/>
      <c r="AG130" s="95"/>
      <c r="AH130" s="95"/>
      <c r="AI130" s="106"/>
      <c r="AJ130" s="106"/>
      <c r="AK130" s="106"/>
      <c r="AL130" s="106"/>
      <c r="AM130" s="22" t="str">
        <f t="shared" si="12"/>
        <v/>
      </c>
      <c r="AN130" s="23"/>
      <c r="AO130" s="24"/>
      <c r="AP130" s="63" t="str">
        <f t="shared" si="13"/>
        <v/>
      </c>
      <c r="AQ130" s="25"/>
      <c r="AR130" s="25"/>
      <c r="AS130" s="6" t="str">
        <f t="shared" si="10"/>
        <v/>
      </c>
      <c r="AT130" s="6" t="str">
        <f t="shared" si="11"/>
        <v/>
      </c>
      <c r="AU130" s="6"/>
      <c r="AV130" s="6"/>
      <c r="AW130" s="6"/>
      <c r="AX130" s="6"/>
      <c r="AY130" s="6"/>
      <c r="AZ130" s="20"/>
      <c r="BA130" s="20"/>
    </row>
    <row r="131" spans="1:53" s="38" customFormat="1" ht="15.75">
      <c r="A131" s="21">
        <v>100</v>
      </c>
      <c r="B131" s="22"/>
      <c r="C131" s="22"/>
      <c r="D131" s="22"/>
      <c r="E131" s="105"/>
      <c r="F131" s="105"/>
      <c r="G131" s="105"/>
      <c r="H131" s="105"/>
      <c r="I131" s="105"/>
      <c r="J131" s="105"/>
      <c r="K131" s="99"/>
      <c r="L131" s="100"/>
      <c r="M131" s="100"/>
      <c r="N131" s="101"/>
      <c r="O131" s="94"/>
      <c r="P131" s="95"/>
      <c r="Q131" s="96"/>
      <c r="R131" s="102"/>
      <c r="S131" s="103"/>
      <c r="T131" s="103"/>
      <c r="U131" s="104"/>
      <c r="V131" s="80"/>
      <c r="W131" s="81"/>
      <c r="X131" s="80"/>
      <c r="Y131" s="81"/>
      <c r="Z131" s="80"/>
      <c r="AA131" s="81"/>
      <c r="AB131" s="94"/>
      <c r="AC131" s="95"/>
      <c r="AD131" s="95"/>
      <c r="AE131" s="96"/>
      <c r="AF131" s="94"/>
      <c r="AG131" s="95"/>
      <c r="AH131" s="95"/>
      <c r="AI131" s="106"/>
      <c r="AJ131" s="106"/>
      <c r="AK131" s="106"/>
      <c r="AL131" s="106"/>
      <c r="AM131" s="22" t="str">
        <f t="shared" si="12"/>
        <v/>
      </c>
      <c r="AN131" s="23"/>
      <c r="AO131" s="24"/>
      <c r="AP131" s="63" t="str">
        <f t="shared" si="13"/>
        <v/>
      </c>
      <c r="AQ131" s="25"/>
      <c r="AR131" s="25"/>
      <c r="AS131" s="6" t="str">
        <f t="shared" si="10"/>
        <v/>
      </c>
      <c r="AT131" s="6" t="str">
        <f t="shared" si="11"/>
        <v/>
      </c>
      <c r="AU131" s="6"/>
      <c r="AV131" s="6"/>
      <c r="AW131" s="6"/>
      <c r="AX131" s="6"/>
      <c r="AY131" s="6"/>
      <c r="AZ131" s="20"/>
      <c r="BA131" s="20"/>
    </row>
    <row r="132" spans="1:53" ht="20.100000000000001" customHeight="1">
      <c r="AG132" s="13"/>
      <c r="AH132" s="13"/>
      <c r="AI132" s="13"/>
      <c r="AJ132" s="13"/>
      <c r="AK132" s="13"/>
      <c r="AL132" s="13"/>
      <c r="AM132" s="3"/>
      <c r="AN132" s="13"/>
      <c r="AO132" s="13"/>
      <c r="AP132" s="63"/>
      <c r="AQ132" s="25"/>
      <c r="AR132" s="25"/>
    </row>
  </sheetData>
  <sheetProtection algorithmName="SHA-512" hashValue="q33WPviE+T4jZhDhGZ9VdDQRhKDfZMn99lDRW0NDwyNqqBHlWTOKKHLhi9Y/QDgcW2Tc1P0mStEyu2pbF3dA4g==" saltValue="WwzQ3dUe44fhGuMV66jfLA==" spinCount="100000" sheet="1" objects="1" scenarios="1"/>
  <mergeCells count="1060">
    <mergeCell ref="AF25:AK25"/>
    <mergeCell ref="AF20:AK20"/>
    <mergeCell ref="AF24:AK24"/>
    <mergeCell ref="AF23:AK23"/>
    <mergeCell ref="AF22:AK22"/>
    <mergeCell ref="AF21:AK21"/>
    <mergeCell ref="Q25:W25"/>
    <mergeCell ref="Y25:AE25"/>
    <mergeCell ref="Q20:W20"/>
    <mergeCell ref="Y20:AE20"/>
    <mergeCell ref="Q21:W21"/>
    <mergeCell ref="Y21:AE21"/>
    <mergeCell ref="Q22:W22"/>
    <mergeCell ref="Y22:AE22"/>
    <mergeCell ref="Q23:W23"/>
    <mergeCell ref="Y23:AE23"/>
    <mergeCell ref="Q24:W24"/>
    <mergeCell ref="Y24:AE24"/>
    <mergeCell ref="A25:O25"/>
    <mergeCell ref="A24:O24"/>
    <mergeCell ref="A23:O23"/>
    <mergeCell ref="A22:O22"/>
    <mergeCell ref="A21:O21"/>
    <mergeCell ref="A20:O20"/>
    <mergeCell ref="B30:D30"/>
    <mergeCell ref="A30:A31"/>
    <mergeCell ref="AI127:AL127"/>
    <mergeCell ref="AI128:AL128"/>
    <mergeCell ref="AI129:AL129"/>
    <mergeCell ref="AI130:AL130"/>
    <mergeCell ref="AI131:AL131"/>
    <mergeCell ref="AM30:AM31"/>
    <mergeCell ref="AI30:AL31"/>
    <mergeCell ref="AF30:AH31"/>
    <mergeCell ref="AB30:AE31"/>
    <mergeCell ref="Z30:AA31"/>
    <mergeCell ref="X30:Y31"/>
    <mergeCell ref="V30:W31"/>
    <mergeCell ref="R30:U31"/>
    <mergeCell ref="O30:Q31"/>
    <mergeCell ref="K30:N31"/>
    <mergeCell ref="E30:J31"/>
    <mergeCell ref="AI121:AL121"/>
    <mergeCell ref="AI122:AL122"/>
    <mergeCell ref="AI123:AL123"/>
    <mergeCell ref="AI124:AL124"/>
    <mergeCell ref="AI125:AL125"/>
    <mergeCell ref="AI126:AL126"/>
    <mergeCell ref="AI99:AL99"/>
    <mergeCell ref="AI119:AL119"/>
    <mergeCell ref="AI97:AL97"/>
    <mergeCell ref="AI98:AL98"/>
    <mergeCell ref="AI113:AL113"/>
    <mergeCell ref="AI114:AL114"/>
    <mergeCell ref="AI115:AL115"/>
    <mergeCell ref="AI116:AL116"/>
    <mergeCell ref="AI117:AL117"/>
    <mergeCell ref="AI82:AL82"/>
    <mergeCell ref="AI100:AL100"/>
    <mergeCell ref="AI101:AL101"/>
    <mergeCell ref="AI102:AL102"/>
    <mergeCell ref="AI103:AL103"/>
    <mergeCell ref="AI104:AL104"/>
    <mergeCell ref="AI105:AL105"/>
    <mergeCell ref="AI106:AL106"/>
    <mergeCell ref="AI107:AL107"/>
    <mergeCell ref="AI108:AL108"/>
    <mergeCell ref="AI109:AL109"/>
    <mergeCell ref="AI110:AL110"/>
    <mergeCell ref="AI111:AL111"/>
    <mergeCell ref="AI112:AL112"/>
    <mergeCell ref="AI70:AL70"/>
    <mergeCell ref="AI71:AL71"/>
    <mergeCell ref="AI72:AL72"/>
    <mergeCell ref="AI73:AL73"/>
    <mergeCell ref="AI74:AL74"/>
    <mergeCell ref="AI75:AL75"/>
    <mergeCell ref="AI76:AL76"/>
    <mergeCell ref="AI77:AL77"/>
    <mergeCell ref="AI78:AL78"/>
    <mergeCell ref="AI79:AL79"/>
    <mergeCell ref="AI80:AL80"/>
    <mergeCell ref="AI81:AL81"/>
    <mergeCell ref="AI92:AL92"/>
    <mergeCell ref="AI93:AL93"/>
    <mergeCell ref="AI94:AL94"/>
    <mergeCell ref="AI95:AL95"/>
    <mergeCell ref="AI96:AL96"/>
    <mergeCell ref="AI120:AL120"/>
    <mergeCell ref="AI83:AL83"/>
    <mergeCell ref="AI84:AL84"/>
    <mergeCell ref="AI85:AL85"/>
    <mergeCell ref="AI86:AL86"/>
    <mergeCell ref="AI87:AL87"/>
    <mergeCell ref="AI88:AL88"/>
    <mergeCell ref="AI89:AL89"/>
    <mergeCell ref="AI90:AL90"/>
    <mergeCell ref="AI91:AL91"/>
    <mergeCell ref="AI49:AL49"/>
    <mergeCell ref="AI50:AL50"/>
    <mergeCell ref="AI51:AL51"/>
    <mergeCell ref="AI52:AL52"/>
    <mergeCell ref="AI53:AL53"/>
    <mergeCell ref="AI54:AL54"/>
    <mergeCell ref="AI55:AL55"/>
    <mergeCell ref="AI56:AL56"/>
    <mergeCell ref="AI57:AL57"/>
    <mergeCell ref="AI58:AL58"/>
    <mergeCell ref="AI59:AL59"/>
    <mergeCell ref="AI60:AL60"/>
    <mergeCell ref="AI61:AL61"/>
    <mergeCell ref="AI62:AL62"/>
    <mergeCell ref="AI63:AL63"/>
    <mergeCell ref="AI64:AL64"/>
    <mergeCell ref="AI65:AL65"/>
    <mergeCell ref="AI118:AL118"/>
    <mergeCell ref="AI66:AL66"/>
    <mergeCell ref="AI67:AL67"/>
    <mergeCell ref="AI68:AL68"/>
    <mergeCell ref="AI69:AL69"/>
    <mergeCell ref="AI32:AL32"/>
    <mergeCell ref="AI33:AL33"/>
    <mergeCell ref="AI34:AL34"/>
    <mergeCell ref="AI35:AL35"/>
    <mergeCell ref="AI36:AL36"/>
    <mergeCell ref="AI37:AL37"/>
    <mergeCell ref="AI38:AL38"/>
    <mergeCell ref="AI39:AL39"/>
    <mergeCell ref="AI40:AL40"/>
    <mergeCell ref="AI41:AL41"/>
    <mergeCell ref="AI42:AL42"/>
    <mergeCell ref="AI43:AL43"/>
    <mergeCell ref="AI44:AL44"/>
    <mergeCell ref="AI45:AL45"/>
    <mergeCell ref="AI46:AL46"/>
    <mergeCell ref="AI47:AL47"/>
    <mergeCell ref="AI48:AL48"/>
    <mergeCell ref="AF104:AH104"/>
    <mergeCell ref="AF105:AH105"/>
    <mergeCell ref="AF106:AH106"/>
    <mergeCell ref="AF107:AH107"/>
    <mergeCell ref="AF108:AH108"/>
    <mergeCell ref="AF109:AH109"/>
    <mergeCell ref="AF110:AH110"/>
    <mergeCell ref="AF111:AH111"/>
    <mergeCell ref="AF112:AH112"/>
    <mergeCell ref="AF113:AH113"/>
    <mergeCell ref="AF114:AH114"/>
    <mergeCell ref="AF115:AH115"/>
    <mergeCell ref="AF116:AH116"/>
    <mergeCell ref="AF117:AH117"/>
    <mergeCell ref="AF130:AH130"/>
    <mergeCell ref="AF131:AH131"/>
    <mergeCell ref="AF120:AH120"/>
    <mergeCell ref="AF121:AH121"/>
    <mergeCell ref="AF122:AH122"/>
    <mergeCell ref="AF123:AH123"/>
    <mergeCell ref="AF124:AH124"/>
    <mergeCell ref="AF125:AH125"/>
    <mergeCell ref="AF126:AH126"/>
    <mergeCell ref="AF127:AH127"/>
    <mergeCell ref="AF128:AH128"/>
    <mergeCell ref="AF129:AH129"/>
    <mergeCell ref="AF83:AH83"/>
    <mergeCell ref="AF84:AH84"/>
    <mergeCell ref="AF85:AH85"/>
    <mergeCell ref="AF86:AH86"/>
    <mergeCell ref="AF87:AH87"/>
    <mergeCell ref="AF88:AH88"/>
    <mergeCell ref="AF89:AH89"/>
    <mergeCell ref="AF90:AH90"/>
    <mergeCell ref="AF91:AH91"/>
    <mergeCell ref="AF92:AH92"/>
    <mergeCell ref="AF101:AH101"/>
    <mergeCell ref="AF102:AH102"/>
    <mergeCell ref="AF103:AH103"/>
    <mergeCell ref="AF93:AH93"/>
    <mergeCell ref="AF94:AH94"/>
    <mergeCell ref="AF95:AH95"/>
    <mergeCell ref="AF96:AH96"/>
    <mergeCell ref="AF97:AH97"/>
    <mergeCell ref="AF98:AH98"/>
    <mergeCell ref="AF99:AH99"/>
    <mergeCell ref="AF100:AH100"/>
    <mergeCell ref="AF66:AH66"/>
    <mergeCell ref="AF67:AH67"/>
    <mergeCell ref="AF68:AH68"/>
    <mergeCell ref="AF69:AH69"/>
    <mergeCell ref="AF70:AH70"/>
    <mergeCell ref="AF71:AH71"/>
    <mergeCell ref="AF72:AH72"/>
    <mergeCell ref="AF73:AH73"/>
    <mergeCell ref="AF74:AH74"/>
    <mergeCell ref="AF75:AH75"/>
    <mergeCell ref="AF76:AH76"/>
    <mergeCell ref="AF77:AH77"/>
    <mergeCell ref="AF78:AH78"/>
    <mergeCell ref="AF79:AH79"/>
    <mergeCell ref="AF80:AH80"/>
    <mergeCell ref="AF81:AH81"/>
    <mergeCell ref="AF82:AH82"/>
    <mergeCell ref="AF49:AH49"/>
    <mergeCell ref="AF50:AH50"/>
    <mergeCell ref="AF51:AH51"/>
    <mergeCell ref="AF52:AH52"/>
    <mergeCell ref="AF53:AH53"/>
    <mergeCell ref="AF54:AH54"/>
    <mergeCell ref="AF55:AH55"/>
    <mergeCell ref="AF56:AH56"/>
    <mergeCell ref="AF57:AH57"/>
    <mergeCell ref="AF58:AH58"/>
    <mergeCell ref="AF59:AH59"/>
    <mergeCell ref="AF60:AH60"/>
    <mergeCell ref="AF61:AH61"/>
    <mergeCell ref="AF62:AH62"/>
    <mergeCell ref="AF63:AH63"/>
    <mergeCell ref="AF64:AH64"/>
    <mergeCell ref="AF65:AH65"/>
    <mergeCell ref="AF32:AH32"/>
    <mergeCell ref="AF33:AH33"/>
    <mergeCell ref="AF34:AH34"/>
    <mergeCell ref="AF35:AH35"/>
    <mergeCell ref="AF36:AH36"/>
    <mergeCell ref="AF37:AH37"/>
    <mergeCell ref="AF38:AH38"/>
    <mergeCell ref="AF39:AH39"/>
    <mergeCell ref="AF40:AH40"/>
    <mergeCell ref="AF41:AH41"/>
    <mergeCell ref="AF42:AH42"/>
    <mergeCell ref="AF43:AH43"/>
    <mergeCell ref="AF44:AH44"/>
    <mergeCell ref="AF45:AH45"/>
    <mergeCell ref="AF46:AH46"/>
    <mergeCell ref="AF47:AH47"/>
    <mergeCell ref="AF48:AH48"/>
    <mergeCell ref="X116:Y116"/>
    <mergeCell ref="X117:Y117"/>
    <mergeCell ref="X118:Y118"/>
    <mergeCell ref="X119:Y119"/>
    <mergeCell ref="X120:Y120"/>
    <mergeCell ref="X121:Y121"/>
    <mergeCell ref="X122:Y122"/>
    <mergeCell ref="X123:Y123"/>
    <mergeCell ref="X124:Y124"/>
    <mergeCell ref="X125:Y125"/>
    <mergeCell ref="X126:Y126"/>
    <mergeCell ref="X127:Y127"/>
    <mergeCell ref="X128:Y128"/>
    <mergeCell ref="X129:Y129"/>
    <mergeCell ref="X130:Y130"/>
    <mergeCell ref="X131:Y131"/>
    <mergeCell ref="X99:Y99"/>
    <mergeCell ref="X100:Y100"/>
    <mergeCell ref="X101:Y101"/>
    <mergeCell ref="X102:Y102"/>
    <mergeCell ref="X103:Y103"/>
    <mergeCell ref="X104:Y104"/>
    <mergeCell ref="X105:Y105"/>
    <mergeCell ref="X106:Y106"/>
    <mergeCell ref="X107:Y107"/>
    <mergeCell ref="X108:Y108"/>
    <mergeCell ref="X109:Y109"/>
    <mergeCell ref="X110:Y110"/>
    <mergeCell ref="X111:Y111"/>
    <mergeCell ref="X112:Y112"/>
    <mergeCell ref="X113:Y113"/>
    <mergeCell ref="X114:Y114"/>
    <mergeCell ref="X67:Y67"/>
    <mergeCell ref="X68:Y68"/>
    <mergeCell ref="X69:Y69"/>
    <mergeCell ref="X70:Y70"/>
    <mergeCell ref="X71:Y71"/>
    <mergeCell ref="X72:Y72"/>
    <mergeCell ref="X73:Y73"/>
    <mergeCell ref="X74:Y74"/>
    <mergeCell ref="X80:Y80"/>
    <mergeCell ref="X81:Y81"/>
    <mergeCell ref="X115:Y115"/>
    <mergeCell ref="X82:Y82"/>
    <mergeCell ref="X83:Y83"/>
    <mergeCell ref="X84:Y84"/>
    <mergeCell ref="X85:Y85"/>
    <mergeCell ref="X86:Y86"/>
    <mergeCell ref="X87:Y87"/>
    <mergeCell ref="X88:Y88"/>
    <mergeCell ref="X89:Y89"/>
    <mergeCell ref="X90:Y90"/>
    <mergeCell ref="X91:Y91"/>
    <mergeCell ref="X92:Y92"/>
    <mergeCell ref="X93:Y93"/>
    <mergeCell ref="X94:Y94"/>
    <mergeCell ref="X95:Y95"/>
    <mergeCell ref="X96:Y96"/>
    <mergeCell ref="X97:Y97"/>
    <mergeCell ref="X98:Y98"/>
    <mergeCell ref="X37:Y37"/>
    <mergeCell ref="X38:Y38"/>
    <mergeCell ref="X39:Y39"/>
    <mergeCell ref="X40:Y40"/>
    <mergeCell ref="X41:Y41"/>
    <mergeCell ref="X42:Y42"/>
    <mergeCell ref="X43:Y43"/>
    <mergeCell ref="X44:Y44"/>
    <mergeCell ref="X45:Y45"/>
    <mergeCell ref="X46:Y46"/>
    <mergeCell ref="X47:Y47"/>
    <mergeCell ref="V115:W115"/>
    <mergeCell ref="V114:W114"/>
    <mergeCell ref="V81:W81"/>
    <mergeCell ref="V82:W82"/>
    <mergeCell ref="V83:W83"/>
    <mergeCell ref="V84:W84"/>
    <mergeCell ref="V85:W85"/>
    <mergeCell ref="V86:W86"/>
    <mergeCell ref="V87:W87"/>
    <mergeCell ref="V88:W88"/>
    <mergeCell ref="V89:W89"/>
    <mergeCell ref="V90:W90"/>
    <mergeCell ref="V91:W91"/>
    <mergeCell ref="V92:W92"/>
    <mergeCell ref="V93:W93"/>
    <mergeCell ref="V94:W94"/>
    <mergeCell ref="X48:Y48"/>
    <mergeCell ref="X49:Y49"/>
    <mergeCell ref="X50:Y50"/>
    <mergeCell ref="X51:Y51"/>
    <mergeCell ref="X52:Y52"/>
    <mergeCell ref="V116:W116"/>
    <mergeCell ref="V117:W117"/>
    <mergeCell ref="V118:W118"/>
    <mergeCell ref="V119:W119"/>
    <mergeCell ref="V120:W120"/>
    <mergeCell ref="V121:W121"/>
    <mergeCell ref="V122:W122"/>
    <mergeCell ref="V123:W123"/>
    <mergeCell ref="V124:W124"/>
    <mergeCell ref="V125:W125"/>
    <mergeCell ref="V126:W126"/>
    <mergeCell ref="V127:W127"/>
    <mergeCell ref="V128:W128"/>
    <mergeCell ref="V129:W129"/>
    <mergeCell ref="V130:W130"/>
    <mergeCell ref="V131:W131"/>
    <mergeCell ref="V98:W98"/>
    <mergeCell ref="V99:W99"/>
    <mergeCell ref="V100:W100"/>
    <mergeCell ref="V101:W101"/>
    <mergeCell ref="V102:W102"/>
    <mergeCell ref="V103:W103"/>
    <mergeCell ref="V104:W104"/>
    <mergeCell ref="V105:W105"/>
    <mergeCell ref="V106:W106"/>
    <mergeCell ref="V107:W107"/>
    <mergeCell ref="V108:W108"/>
    <mergeCell ref="V109:W109"/>
    <mergeCell ref="V110:W110"/>
    <mergeCell ref="V111:W111"/>
    <mergeCell ref="V112:W112"/>
    <mergeCell ref="V113:W113"/>
    <mergeCell ref="V95:W95"/>
    <mergeCell ref="V96:W96"/>
    <mergeCell ref="V97:W97"/>
    <mergeCell ref="V64:W64"/>
    <mergeCell ref="V65:W65"/>
    <mergeCell ref="V66:W66"/>
    <mergeCell ref="V67:W67"/>
    <mergeCell ref="V68:W68"/>
    <mergeCell ref="V69:W69"/>
    <mergeCell ref="V70:W70"/>
    <mergeCell ref="V71:W71"/>
    <mergeCell ref="V72:W72"/>
    <mergeCell ref="V73:W73"/>
    <mergeCell ref="V74:W74"/>
    <mergeCell ref="V75:W75"/>
    <mergeCell ref="V76:W76"/>
    <mergeCell ref="V77:W77"/>
    <mergeCell ref="V78:W78"/>
    <mergeCell ref="V79:W79"/>
    <mergeCell ref="V80:W80"/>
    <mergeCell ref="AB127:AE127"/>
    <mergeCell ref="AB128:AE128"/>
    <mergeCell ref="AB119:AE119"/>
    <mergeCell ref="AB120:AE120"/>
    <mergeCell ref="AB121:AE121"/>
    <mergeCell ref="AB122:AE122"/>
    <mergeCell ref="AB123:AE123"/>
    <mergeCell ref="AB124:AE124"/>
    <mergeCell ref="AB125:AE125"/>
    <mergeCell ref="AB126:AE126"/>
    <mergeCell ref="AF118:AH118"/>
    <mergeCell ref="AF119:AH119"/>
    <mergeCell ref="AB118:AE118"/>
    <mergeCell ref="V43:W43"/>
    <mergeCell ref="V44:W44"/>
    <mergeCell ref="V45:W45"/>
    <mergeCell ref="V46:W46"/>
    <mergeCell ref="V47:W47"/>
    <mergeCell ref="V48:W48"/>
    <mergeCell ref="V49:W49"/>
    <mergeCell ref="V50:W50"/>
    <mergeCell ref="V51:W51"/>
    <mergeCell ref="V52:W52"/>
    <mergeCell ref="V53:W53"/>
    <mergeCell ref="V54:W54"/>
    <mergeCell ref="V55:W55"/>
    <mergeCell ref="V56:W56"/>
    <mergeCell ref="V59:W59"/>
    <mergeCell ref="V60:W60"/>
    <mergeCell ref="V61:W61"/>
    <mergeCell ref="V62:W62"/>
    <mergeCell ref="V63:W63"/>
    <mergeCell ref="E43:J43"/>
    <mergeCell ref="E42:J42"/>
    <mergeCell ref="E41:J41"/>
    <mergeCell ref="E40:J40"/>
    <mergeCell ref="E39:J39"/>
    <mergeCell ref="E38:J38"/>
    <mergeCell ref="R38:U38"/>
    <mergeCell ref="R39:U39"/>
    <mergeCell ref="R40:U40"/>
    <mergeCell ref="R41:U41"/>
    <mergeCell ref="R42:U42"/>
    <mergeCell ref="E33:J33"/>
    <mergeCell ref="E32:J32"/>
    <mergeCell ref="R32:U32"/>
    <mergeCell ref="R33:U33"/>
    <mergeCell ref="O32:Q32"/>
    <mergeCell ref="K32:N32"/>
    <mergeCell ref="O33:Q33"/>
    <mergeCell ref="O36:Q36"/>
    <mergeCell ref="O37:Q37"/>
    <mergeCell ref="K33:N33"/>
    <mergeCell ref="E34:J34"/>
    <mergeCell ref="R34:U34"/>
    <mergeCell ref="R35:U35"/>
    <mergeCell ref="R36:U36"/>
    <mergeCell ref="R37:U37"/>
    <mergeCell ref="R43:U43"/>
    <mergeCell ref="K38:N38"/>
    <mergeCell ref="K39:N39"/>
    <mergeCell ref="K40:N40"/>
    <mergeCell ref="O41:Q41"/>
    <mergeCell ref="O42:Q42"/>
    <mergeCell ref="V32:W32"/>
    <mergeCell ref="V33:W33"/>
    <mergeCell ref="V34:W34"/>
    <mergeCell ref="V35:W35"/>
    <mergeCell ref="V36:W36"/>
    <mergeCell ref="V37:W37"/>
    <mergeCell ref="E37:J37"/>
    <mergeCell ref="E36:J36"/>
    <mergeCell ref="E35:J35"/>
    <mergeCell ref="AB32:AE32"/>
    <mergeCell ref="AB33:AE33"/>
    <mergeCell ref="AB34:AE34"/>
    <mergeCell ref="AB35:AE35"/>
    <mergeCell ref="AB36:AE36"/>
    <mergeCell ref="AB37:AE37"/>
    <mergeCell ref="Z32:AA32"/>
    <mergeCell ref="Z33:AA33"/>
    <mergeCell ref="Z34:AA34"/>
    <mergeCell ref="Z35:AA35"/>
    <mergeCell ref="Z36:AA36"/>
    <mergeCell ref="Z37:AA37"/>
    <mergeCell ref="O34:Q34"/>
    <mergeCell ref="O35:Q35"/>
    <mergeCell ref="K34:N34"/>
    <mergeCell ref="K35:N35"/>
    <mergeCell ref="K36:N36"/>
    <mergeCell ref="K37:N37"/>
    <mergeCell ref="X32:Y32"/>
    <mergeCell ref="X33:Y33"/>
    <mergeCell ref="X34:Y34"/>
    <mergeCell ref="X35:Y35"/>
    <mergeCell ref="X36:Y36"/>
    <mergeCell ref="E52:J52"/>
    <mergeCell ref="E51:J51"/>
    <mergeCell ref="E50:J50"/>
    <mergeCell ref="K51:N51"/>
    <mergeCell ref="K52:N52"/>
    <mergeCell ref="K53:N53"/>
    <mergeCell ref="E49:J49"/>
    <mergeCell ref="E48:J48"/>
    <mergeCell ref="E47:J47"/>
    <mergeCell ref="E46:J46"/>
    <mergeCell ref="R46:U46"/>
    <mergeCell ref="R47:U47"/>
    <mergeCell ref="R48:U48"/>
    <mergeCell ref="O44:Q44"/>
    <mergeCell ref="R49:U49"/>
    <mergeCell ref="R50:U50"/>
    <mergeCell ref="O46:Q46"/>
    <mergeCell ref="O47:Q47"/>
    <mergeCell ref="O48:Q48"/>
    <mergeCell ref="O49:Q49"/>
    <mergeCell ref="O50:Q50"/>
    <mergeCell ref="O51:Q51"/>
    <mergeCell ref="O52:Q52"/>
    <mergeCell ref="O53:Q53"/>
    <mergeCell ref="E45:J45"/>
    <mergeCell ref="E44:J44"/>
    <mergeCell ref="R44:U44"/>
    <mergeCell ref="R45:U45"/>
    <mergeCell ref="V38:W38"/>
    <mergeCell ref="V39:W39"/>
    <mergeCell ref="E61:J61"/>
    <mergeCell ref="E60:J60"/>
    <mergeCell ref="E59:J59"/>
    <mergeCell ref="E58:J58"/>
    <mergeCell ref="K58:N58"/>
    <mergeCell ref="K59:N59"/>
    <mergeCell ref="K60:N60"/>
    <mergeCell ref="K61:N61"/>
    <mergeCell ref="E57:J57"/>
    <mergeCell ref="E56:J56"/>
    <mergeCell ref="E55:J55"/>
    <mergeCell ref="E54:J54"/>
    <mergeCell ref="K54:N54"/>
    <mergeCell ref="K55:N55"/>
    <mergeCell ref="K56:N56"/>
    <mergeCell ref="K57:N57"/>
    <mergeCell ref="R59:U59"/>
    <mergeCell ref="R60:U60"/>
    <mergeCell ref="R61:U61"/>
    <mergeCell ref="O59:Q59"/>
    <mergeCell ref="V40:W40"/>
    <mergeCell ref="V41:W41"/>
    <mergeCell ref="V42:W42"/>
    <mergeCell ref="O60:Q60"/>
    <mergeCell ref="O61:Q61"/>
    <mergeCell ref="V57:W57"/>
    <mergeCell ref="V58:W58"/>
    <mergeCell ref="O38:Q38"/>
    <mergeCell ref="O39:Q39"/>
    <mergeCell ref="E53:J53"/>
    <mergeCell ref="O40:Q40"/>
    <mergeCell ref="E69:J69"/>
    <mergeCell ref="E68:J68"/>
    <mergeCell ref="E67:J67"/>
    <mergeCell ref="E66:J66"/>
    <mergeCell ref="R66:U66"/>
    <mergeCell ref="R67:U67"/>
    <mergeCell ref="R68:U68"/>
    <mergeCell ref="R69:U69"/>
    <mergeCell ref="E65:J65"/>
    <mergeCell ref="E64:J64"/>
    <mergeCell ref="E63:J63"/>
    <mergeCell ref="E62:J62"/>
    <mergeCell ref="O62:Q62"/>
    <mergeCell ref="O63:Q63"/>
    <mergeCell ref="O64:Q64"/>
    <mergeCell ref="O65:Q65"/>
    <mergeCell ref="R62:U62"/>
    <mergeCell ref="R63:U63"/>
    <mergeCell ref="R64:U64"/>
    <mergeCell ref="R65:U65"/>
    <mergeCell ref="O66:Q66"/>
    <mergeCell ref="O67:Q67"/>
    <mergeCell ref="O68:Q68"/>
    <mergeCell ref="O69:Q69"/>
    <mergeCell ref="K69:N69"/>
    <mergeCell ref="R58:U58"/>
    <mergeCell ref="O45:Q45"/>
    <mergeCell ref="O54:Q54"/>
    <mergeCell ref="O55:Q55"/>
    <mergeCell ref="O56:Q56"/>
    <mergeCell ref="O57:Q57"/>
    <mergeCell ref="E77:J77"/>
    <mergeCell ref="E76:J76"/>
    <mergeCell ref="E75:J75"/>
    <mergeCell ref="E74:J74"/>
    <mergeCell ref="R74:U74"/>
    <mergeCell ref="R75:U75"/>
    <mergeCell ref="R76:U76"/>
    <mergeCell ref="R77:U77"/>
    <mergeCell ref="E73:J73"/>
    <mergeCell ref="E72:J72"/>
    <mergeCell ref="E71:J71"/>
    <mergeCell ref="E70:J70"/>
    <mergeCell ref="R70:U70"/>
    <mergeCell ref="R71:U71"/>
    <mergeCell ref="R72:U72"/>
    <mergeCell ref="R73:U73"/>
    <mergeCell ref="O70:Q70"/>
    <mergeCell ref="O71:Q71"/>
    <mergeCell ref="O72:Q72"/>
    <mergeCell ref="O73:Q73"/>
    <mergeCell ref="O74:Q74"/>
    <mergeCell ref="O75:Q75"/>
    <mergeCell ref="O76:Q76"/>
    <mergeCell ref="O77:Q77"/>
    <mergeCell ref="K70:N70"/>
    <mergeCell ref="K71:N71"/>
    <mergeCell ref="K72:N72"/>
    <mergeCell ref="K73:N73"/>
    <mergeCell ref="K74:N74"/>
    <mergeCell ref="K75:N75"/>
    <mergeCell ref="K76:N76"/>
    <mergeCell ref="K77:N77"/>
    <mergeCell ref="E85:J85"/>
    <mergeCell ref="E84:J84"/>
    <mergeCell ref="E83:J83"/>
    <mergeCell ref="E82:J82"/>
    <mergeCell ref="R82:U82"/>
    <mergeCell ref="R83:U83"/>
    <mergeCell ref="R84:U84"/>
    <mergeCell ref="R85:U85"/>
    <mergeCell ref="E81:J81"/>
    <mergeCell ref="E80:J80"/>
    <mergeCell ref="E79:J79"/>
    <mergeCell ref="E78:J78"/>
    <mergeCell ref="R78:U78"/>
    <mergeCell ref="R79:U79"/>
    <mergeCell ref="R80:U80"/>
    <mergeCell ref="R81:U81"/>
    <mergeCell ref="O78:Q78"/>
    <mergeCell ref="O79:Q79"/>
    <mergeCell ref="O80:Q80"/>
    <mergeCell ref="O81:Q81"/>
    <mergeCell ref="O82:Q82"/>
    <mergeCell ref="O83:Q83"/>
    <mergeCell ref="O84:Q84"/>
    <mergeCell ref="O85:Q85"/>
    <mergeCell ref="K78:N78"/>
    <mergeCell ref="K79:N79"/>
    <mergeCell ref="K80:N80"/>
    <mergeCell ref="K81:N81"/>
    <mergeCell ref="K82:N82"/>
    <mergeCell ref="K83:N83"/>
    <mergeCell ref="K84:N84"/>
    <mergeCell ref="K85:N85"/>
    <mergeCell ref="E93:J93"/>
    <mergeCell ref="E92:J92"/>
    <mergeCell ref="E91:J91"/>
    <mergeCell ref="E90:J90"/>
    <mergeCell ref="R90:U90"/>
    <mergeCell ref="R91:U91"/>
    <mergeCell ref="R92:U92"/>
    <mergeCell ref="R93:U93"/>
    <mergeCell ref="E89:J89"/>
    <mergeCell ref="E88:J88"/>
    <mergeCell ref="E87:J87"/>
    <mergeCell ref="E86:J86"/>
    <mergeCell ref="R86:U86"/>
    <mergeCell ref="R87:U87"/>
    <mergeCell ref="R88:U88"/>
    <mergeCell ref="R89:U89"/>
    <mergeCell ref="O86:Q86"/>
    <mergeCell ref="O87:Q87"/>
    <mergeCell ref="O88:Q88"/>
    <mergeCell ref="O89:Q89"/>
    <mergeCell ref="O90:Q90"/>
    <mergeCell ref="O91:Q91"/>
    <mergeCell ref="O92:Q92"/>
    <mergeCell ref="O93:Q93"/>
    <mergeCell ref="K86:N86"/>
    <mergeCell ref="K87:N87"/>
    <mergeCell ref="K88:N88"/>
    <mergeCell ref="K89:N89"/>
    <mergeCell ref="K90:N90"/>
    <mergeCell ref="K91:N91"/>
    <mergeCell ref="K92:N92"/>
    <mergeCell ref="K93:N93"/>
    <mergeCell ref="E101:J101"/>
    <mergeCell ref="E100:J100"/>
    <mergeCell ref="E99:J99"/>
    <mergeCell ref="E98:J98"/>
    <mergeCell ref="R98:U98"/>
    <mergeCell ref="R99:U99"/>
    <mergeCell ref="R100:U100"/>
    <mergeCell ref="R101:U101"/>
    <mergeCell ref="E97:J97"/>
    <mergeCell ref="E96:J96"/>
    <mergeCell ref="E95:J95"/>
    <mergeCell ref="E94:J94"/>
    <mergeCell ref="R94:U94"/>
    <mergeCell ref="R95:U95"/>
    <mergeCell ref="R96:U96"/>
    <mergeCell ref="R97:U97"/>
    <mergeCell ref="O94:Q94"/>
    <mergeCell ref="O95:Q95"/>
    <mergeCell ref="O96:Q96"/>
    <mergeCell ref="O97:Q97"/>
    <mergeCell ref="O98:Q98"/>
    <mergeCell ref="O99:Q99"/>
    <mergeCell ref="O100:Q100"/>
    <mergeCell ref="O101:Q101"/>
    <mergeCell ref="K94:N94"/>
    <mergeCell ref="K95:N95"/>
    <mergeCell ref="K96:N96"/>
    <mergeCell ref="K97:N97"/>
    <mergeCell ref="K98:N98"/>
    <mergeCell ref="K99:N99"/>
    <mergeCell ref="K100:N100"/>
    <mergeCell ref="K101:N101"/>
    <mergeCell ref="E109:J109"/>
    <mergeCell ref="E108:J108"/>
    <mergeCell ref="E107:J107"/>
    <mergeCell ref="E106:J106"/>
    <mergeCell ref="R106:U106"/>
    <mergeCell ref="R107:U107"/>
    <mergeCell ref="R108:U108"/>
    <mergeCell ref="R109:U109"/>
    <mergeCell ref="E105:J105"/>
    <mergeCell ref="E104:J104"/>
    <mergeCell ref="E103:J103"/>
    <mergeCell ref="E102:J102"/>
    <mergeCell ref="R102:U102"/>
    <mergeCell ref="R103:U103"/>
    <mergeCell ref="R104:U104"/>
    <mergeCell ref="R105:U105"/>
    <mergeCell ref="O102:Q102"/>
    <mergeCell ref="O103:Q103"/>
    <mergeCell ref="O104:Q104"/>
    <mergeCell ref="O105:Q105"/>
    <mergeCell ref="O106:Q106"/>
    <mergeCell ref="O107:Q107"/>
    <mergeCell ref="O108:Q108"/>
    <mergeCell ref="O109:Q109"/>
    <mergeCell ref="K102:N102"/>
    <mergeCell ref="K103:N103"/>
    <mergeCell ref="K104:N104"/>
    <mergeCell ref="K105:N105"/>
    <mergeCell ref="K106:N106"/>
    <mergeCell ref="K107:N107"/>
    <mergeCell ref="K108:N108"/>
    <mergeCell ref="K109:N109"/>
    <mergeCell ref="E117:J117"/>
    <mergeCell ref="E116:J116"/>
    <mergeCell ref="E115:J115"/>
    <mergeCell ref="E114:J114"/>
    <mergeCell ref="R114:U114"/>
    <mergeCell ref="R115:U115"/>
    <mergeCell ref="R116:U116"/>
    <mergeCell ref="R117:U117"/>
    <mergeCell ref="E113:J113"/>
    <mergeCell ref="E112:J112"/>
    <mergeCell ref="E111:J111"/>
    <mergeCell ref="E110:J110"/>
    <mergeCell ref="R110:U110"/>
    <mergeCell ref="R111:U111"/>
    <mergeCell ref="R112:U112"/>
    <mergeCell ref="R113:U113"/>
    <mergeCell ref="O110:Q110"/>
    <mergeCell ref="O111:Q111"/>
    <mergeCell ref="O112:Q112"/>
    <mergeCell ref="O113:Q113"/>
    <mergeCell ref="O114:Q114"/>
    <mergeCell ref="O115:Q115"/>
    <mergeCell ref="O116:Q116"/>
    <mergeCell ref="O117:Q117"/>
    <mergeCell ref="K110:N110"/>
    <mergeCell ref="K111:N111"/>
    <mergeCell ref="K112:N112"/>
    <mergeCell ref="K113:N113"/>
    <mergeCell ref="K114:N114"/>
    <mergeCell ref="K116:N116"/>
    <mergeCell ref="K117:N117"/>
    <mergeCell ref="K115:N115"/>
    <mergeCell ref="E125:J125"/>
    <mergeCell ref="E124:J124"/>
    <mergeCell ref="E123:J123"/>
    <mergeCell ref="E122:J122"/>
    <mergeCell ref="R122:U122"/>
    <mergeCell ref="R123:U123"/>
    <mergeCell ref="R124:U124"/>
    <mergeCell ref="R125:U125"/>
    <mergeCell ref="E121:J121"/>
    <mergeCell ref="E120:J120"/>
    <mergeCell ref="E119:J119"/>
    <mergeCell ref="E118:J118"/>
    <mergeCell ref="R118:U118"/>
    <mergeCell ref="R119:U119"/>
    <mergeCell ref="R120:U120"/>
    <mergeCell ref="R121:U121"/>
    <mergeCell ref="O118:Q118"/>
    <mergeCell ref="O119:Q119"/>
    <mergeCell ref="O120:Q120"/>
    <mergeCell ref="O121:Q121"/>
    <mergeCell ref="O122:Q122"/>
    <mergeCell ref="O123:Q123"/>
    <mergeCell ref="O124:Q124"/>
    <mergeCell ref="O125:Q125"/>
    <mergeCell ref="K118:N118"/>
    <mergeCell ref="K119:N119"/>
    <mergeCell ref="K120:N120"/>
    <mergeCell ref="K121:N121"/>
    <mergeCell ref="K122:N122"/>
    <mergeCell ref="K123:N123"/>
    <mergeCell ref="K124:N124"/>
    <mergeCell ref="K125:N125"/>
    <mergeCell ref="E131:J131"/>
    <mergeCell ref="E130:J130"/>
    <mergeCell ref="R130:U130"/>
    <mergeCell ref="R131:U131"/>
    <mergeCell ref="E129:J129"/>
    <mergeCell ref="E128:J128"/>
    <mergeCell ref="E127:J127"/>
    <mergeCell ref="E126:J126"/>
    <mergeCell ref="R126:U126"/>
    <mergeCell ref="R127:U127"/>
    <mergeCell ref="R128:U128"/>
    <mergeCell ref="R129:U129"/>
    <mergeCell ref="O126:Q126"/>
    <mergeCell ref="O127:Q127"/>
    <mergeCell ref="O128:Q128"/>
    <mergeCell ref="O129:Q129"/>
    <mergeCell ref="O130:Q130"/>
    <mergeCell ref="O131:Q131"/>
    <mergeCell ref="K126:N126"/>
    <mergeCell ref="K127:N127"/>
    <mergeCell ref="K128:N128"/>
    <mergeCell ref="K129:N129"/>
    <mergeCell ref="K131:N131"/>
    <mergeCell ref="K130:N130"/>
    <mergeCell ref="AB59:AE59"/>
    <mergeCell ref="AB60:AE60"/>
    <mergeCell ref="AB61:AE61"/>
    <mergeCell ref="AB62:AE62"/>
    <mergeCell ref="O58:Q58"/>
    <mergeCell ref="R51:U51"/>
    <mergeCell ref="R52:U52"/>
    <mergeCell ref="R53:U53"/>
    <mergeCell ref="R54:U54"/>
    <mergeCell ref="R55:U55"/>
    <mergeCell ref="R56:U56"/>
    <mergeCell ref="R57:U57"/>
    <mergeCell ref="K41:N41"/>
    <mergeCell ref="K42:N42"/>
    <mergeCell ref="K43:N43"/>
    <mergeCell ref="K44:N44"/>
    <mergeCell ref="K45:N45"/>
    <mergeCell ref="K46:N46"/>
    <mergeCell ref="K47:N47"/>
    <mergeCell ref="K48:N48"/>
    <mergeCell ref="K49:N49"/>
    <mergeCell ref="K50:N50"/>
    <mergeCell ref="O43:Q43"/>
    <mergeCell ref="X53:Y53"/>
    <mergeCell ref="X54:Y54"/>
    <mergeCell ref="X55:Y55"/>
    <mergeCell ref="X56:Y56"/>
    <mergeCell ref="X57:Y57"/>
    <mergeCell ref="X58:Y58"/>
    <mergeCell ref="X59:Y59"/>
    <mergeCell ref="X60:Y60"/>
    <mergeCell ref="X61:Y61"/>
    <mergeCell ref="AB42:AE42"/>
    <mergeCell ref="AB43:AE43"/>
    <mergeCell ref="AB44:AE44"/>
    <mergeCell ref="AB45:AE45"/>
    <mergeCell ref="AB46:AE46"/>
    <mergeCell ref="AB47:AE47"/>
    <mergeCell ref="AB48:AE48"/>
    <mergeCell ref="AB49:AE49"/>
    <mergeCell ref="AB50:AE50"/>
    <mergeCell ref="AB51:AE51"/>
    <mergeCell ref="AB52:AE52"/>
    <mergeCell ref="AB53:AE53"/>
    <mergeCell ref="AB54:AE54"/>
    <mergeCell ref="AB55:AE55"/>
    <mergeCell ref="AB56:AE56"/>
    <mergeCell ref="AB57:AE57"/>
    <mergeCell ref="AB58:AE58"/>
    <mergeCell ref="AB67:AE67"/>
    <mergeCell ref="AB68:AE68"/>
    <mergeCell ref="AB69:AE69"/>
    <mergeCell ref="AB70:AE70"/>
    <mergeCell ref="AB71:AE71"/>
    <mergeCell ref="AB72:AE72"/>
    <mergeCell ref="AB73:AE73"/>
    <mergeCell ref="AB74:AE74"/>
    <mergeCell ref="AB75:AE75"/>
    <mergeCell ref="AB76:AE76"/>
    <mergeCell ref="AB77:AE77"/>
    <mergeCell ref="AB78:AE78"/>
    <mergeCell ref="AB79:AE79"/>
    <mergeCell ref="K62:N62"/>
    <mergeCell ref="K63:N63"/>
    <mergeCell ref="K64:N64"/>
    <mergeCell ref="K65:N65"/>
    <mergeCell ref="K66:N66"/>
    <mergeCell ref="K67:N67"/>
    <mergeCell ref="K68:N68"/>
    <mergeCell ref="X75:Y75"/>
    <mergeCell ref="X76:Y76"/>
    <mergeCell ref="X77:Y77"/>
    <mergeCell ref="X78:Y78"/>
    <mergeCell ref="X79:Y79"/>
    <mergeCell ref="Z67:AA67"/>
    <mergeCell ref="Z68:AA68"/>
    <mergeCell ref="X62:Y62"/>
    <mergeCell ref="X63:Y63"/>
    <mergeCell ref="X64:Y64"/>
    <mergeCell ref="X65:Y65"/>
    <mergeCell ref="X66:Y66"/>
    <mergeCell ref="AB80:AE80"/>
    <mergeCell ref="AB86:AE86"/>
    <mergeCell ref="AB87:AE87"/>
    <mergeCell ref="AB88:AE88"/>
    <mergeCell ref="AB89:AE89"/>
    <mergeCell ref="AB81:AE81"/>
    <mergeCell ref="AB82:AE82"/>
    <mergeCell ref="AB83:AE83"/>
    <mergeCell ref="AB84:AE84"/>
    <mergeCell ref="AB85:AE85"/>
    <mergeCell ref="AB90:AE90"/>
    <mergeCell ref="AB91:AE91"/>
    <mergeCell ref="AB92:AE92"/>
    <mergeCell ref="AB93:AE93"/>
    <mergeCell ref="AB94:AE94"/>
    <mergeCell ref="AB95:AE95"/>
    <mergeCell ref="AB96:AE96"/>
    <mergeCell ref="AB97:AE97"/>
    <mergeCell ref="AB98:AE98"/>
    <mergeCell ref="AB99:AE99"/>
    <mergeCell ref="AB100:AE100"/>
    <mergeCell ref="AB101:AE101"/>
    <mergeCell ref="AB102:AE102"/>
    <mergeCell ref="AB115:AE115"/>
    <mergeCell ref="AB116:AE116"/>
    <mergeCell ref="AB117:AE117"/>
    <mergeCell ref="AB103:AE103"/>
    <mergeCell ref="AB104:AE104"/>
    <mergeCell ref="AB105:AE105"/>
    <mergeCell ref="AB106:AE106"/>
    <mergeCell ref="AB107:AE107"/>
    <mergeCell ref="AB108:AE108"/>
    <mergeCell ref="AB109:AE109"/>
    <mergeCell ref="AB110:AE110"/>
    <mergeCell ref="AB111:AE111"/>
    <mergeCell ref="AB112:AE112"/>
    <mergeCell ref="AB113:AE113"/>
    <mergeCell ref="AB114:AE114"/>
    <mergeCell ref="AB129:AE129"/>
    <mergeCell ref="AB130:AE130"/>
    <mergeCell ref="AB131:AE131"/>
    <mergeCell ref="A3:G3"/>
    <mergeCell ref="H3:AF3"/>
    <mergeCell ref="Z69:AA69"/>
    <mergeCell ref="Z70:AA70"/>
    <mergeCell ref="Z71:AA71"/>
    <mergeCell ref="Z38:AA38"/>
    <mergeCell ref="Z39:AA39"/>
    <mergeCell ref="Z40:AA40"/>
    <mergeCell ref="Z41:AA41"/>
    <mergeCell ref="Z42:AA42"/>
    <mergeCell ref="Z43:AA43"/>
    <mergeCell ref="Z44:AA44"/>
    <mergeCell ref="Z45:AA45"/>
    <mergeCell ref="Z46:AA46"/>
    <mergeCell ref="Z47:AA47"/>
    <mergeCell ref="Z48:AA48"/>
    <mergeCell ref="Z49:AA49"/>
    <mergeCell ref="Z50:AA50"/>
    <mergeCell ref="Z51:AA51"/>
    <mergeCell ref="Z52:AA52"/>
    <mergeCell ref="Z53:AA53"/>
    <mergeCell ref="Z54:AA54"/>
    <mergeCell ref="Z55:AA55"/>
    <mergeCell ref="Z56:AA56"/>
    <mergeCell ref="Z57:AA57"/>
    <mergeCell ref="Z58:AA58"/>
    <mergeCell ref="Z59:AA59"/>
    <mergeCell ref="Z60:AA60"/>
    <mergeCell ref="Z61:AA61"/>
    <mergeCell ref="Z97:AA97"/>
    <mergeCell ref="Z98:AA98"/>
    <mergeCell ref="Z99:AA99"/>
    <mergeCell ref="Z100:AA100"/>
    <mergeCell ref="Z101:AA101"/>
    <mergeCell ref="Z102:AA102"/>
    <mergeCell ref="Z103:AA103"/>
    <mergeCell ref="Z104:AA104"/>
    <mergeCell ref="Z105:AA105"/>
    <mergeCell ref="Z72:AA72"/>
    <mergeCell ref="Z73:AA73"/>
    <mergeCell ref="Z74:AA74"/>
    <mergeCell ref="Z75:AA75"/>
    <mergeCell ref="Z76:AA76"/>
    <mergeCell ref="Z77:AA77"/>
    <mergeCell ref="Z78:AA78"/>
    <mergeCell ref="Z79:AA79"/>
    <mergeCell ref="Z80:AA80"/>
    <mergeCell ref="Z81:AA81"/>
    <mergeCell ref="Z82:AA82"/>
    <mergeCell ref="Z83:AA83"/>
    <mergeCell ref="Z84:AA84"/>
    <mergeCell ref="Z85:AA85"/>
    <mergeCell ref="Z86:AA86"/>
    <mergeCell ref="Z87:AA87"/>
    <mergeCell ref="Z88:AA88"/>
    <mergeCell ref="Z91:AA91"/>
    <mergeCell ref="Z94:AA94"/>
    <mergeCell ref="Z95:AA95"/>
    <mergeCell ref="Z96:AA96"/>
    <mergeCell ref="Z116:AA116"/>
    <mergeCell ref="Z117:AA117"/>
    <mergeCell ref="Z118:AA118"/>
    <mergeCell ref="Z119:AA119"/>
    <mergeCell ref="Z120:AA120"/>
    <mergeCell ref="Z121:AA121"/>
    <mergeCell ref="Z122:AA122"/>
    <mergeCell ref="Z123:AA123"/>
    <mergeCell ref="Z124:AA124"/>
    <mergeCell ref="Z125:AA125"/>
    <mergeCell ref="Z126:AA126"/>
    <mergeCell ref="Z127:AA127"/>
    <mergeCell ref="Z128:AA128"/>
    <mergeCell ref="Z129:AA129"/>
    <mergeCell ref="Z130:AA130"/>
    <mergeCell ref="Z131:AA131"/>
    <mergeCell ref="A6:J6"/>
    <mergeCell ref="A7:J7"/>
    <mergeCell ref="Z106:AA106"/>
    <mergeCell ref="Z107:AA107"/>
    <mergeCell ref="Z108:AA108"/>
    <mergeCell ref="Z109:AA109"/>
    <mergeCell ref="Z110:AA110"/>
    <mergeCell ref="Z111:AA111"/>
    <mergeCell ref="Z112:AA112"/>
    <mergeCell ref="Z113:AA113"/>
    <mergeCell ref="Z114:AA114"/>
    <mergeCell ref="Z115:AA115"/>
    <mergeCell ref="Z89:AA89"/>
    <mergeCell ref="Z90:AA90"/>
    <mergeCell ref="Z92:AA92"/>
    <mergeCell ref="Z93:AA93"/>
    <mergeCell ref="A27:Q27"/>
    <mergeCell ref="AF28:AL28"/>
    <mergeCell ref="V28:AD28"/>
    <mergeCell ref="Z62:AA62"/>
    <mergeCell ref="Z63:AA63"/>
    <mergeCell ref="Z64:AA64"/>
    <mergeCell ref="Z65:AA65"/>
    <mergeCell ref="Z66:AA66"/>
    <mergeCell ref="A26:O26"/>
    <mergeCell ref="Q26:W26"/>
    <mergeCell ref="Y26:AE26"/>
    <mergeCell ref="AF26:AK26"/>
    <mergeCell ref="V5:W5"/>
    <mergeCell ref="V6:W6"/>
    <mergeCell ref="V7:W7"/>
    <mergeCell ref="P5:Q5"/>
    <mergeCell ref="P6:Q6"/>
    <mergeCell ref="P7:Q7"/>
    <mergeCell ref="U8:V8"/>
    <mergeCell ref="AA8:AB8"/>
    <mergeCell ref="A5:J5"/>
    <mergeCell ref="K5:O5"/>
    <mergeCell ref="K7:O7"/>
    <mergeCell ref="K6:O6"/>
    <mergeCell ref="AB63:AE63"/>
    <mergeCell ref="AB64:AE64"/>
    <mergeCell ref="AB65:AE65"/>
    <mergeCell ref="AB66:AE66"/>
    <mergeCell ref="AB38:AE38"/>
    <mergeCell ref="AB39:AE39"/>
    <mergeCell ref="AB40:AE40"/>
    <mergeCell ref="AB41:AE41"/>
  </mergeCells>
  <phoneticPr fontId="1"/>
  <conditionalFormatting sqref="B32:AM131">
    <cfRule type="containsBlanks" dxfId="6" priority="8">
      <formula>LEN(TRIM(B32))=0</formula>
    </cfRule>
  </conditionalFormatting>
  <conditionalFormatting sqref="H3:AF3">
    <cfRule type="expression" dxfId="5" priority="12">
      <formula>IF( LEN(H3)&lt;1,TRUE,FALSE)</formula>
    </cfRule>
  </conditionalFormatting>
  <conditionalFormatting sqref="P20:P26">
    <cfRule type="containsBlanks" dxfId="4" priority="2">
      <formula>LEN(TRIM(P20))=0</formula>
    </cfRule>
  </conditionalFormatting>
  <conditionalFormatting sqref="V32:V131">
    <cfRule type="containsBlanks" dxfId="3" priority="9" stopIfTrue="1">
      <formula>LEN(TRIM(V32))=0</formula>
    </cfRule>
  </conditionalFormatting>
  <conditionalFormatting sqref="X20:X26">
    <cfRule type="containsBlanks" dxfId="2" priority="1">
      <formula>LEN(TRIM(X20))=0</formula>
    </cfRule>
  </conditionalFormatting>
  <conditionalFormatting sqref="Z32:Z131">
    <cfRule type="containsBlanks" dxfId="1" priority="38" stopIfTrue="1">
      <formula>LEN(TRIM(Z32))=0</formula>
    </cfRule>
  </conditionalFormatting>
  <dataValidations count="3">
    <dataValidation type="whole" imeMode="halfAlpha" allowBlank="1" showInputMessage="1" showErrorMessage="1" error="数字のみ半角で入力します。" sqref="V32:W131 Z32:AA131" xr:uid="{8CA33978-1983-4F0B-AA72-A245B6C41D54}">
      <formula1>0</formula1>
      <formula2>1E+28</formula2>
    </dataValidation>
    <dataValidation type="list" allowBlank="1" showInputMessage="1" showErrorMessage="1" sqref="R32:U131" xr:uid="{EE066E8E-0501-4B0C-AFC2-1B3C92CBEE5F}">
      <formula1>$AW$34:$AW$36</formula1>
    </dataValidation>
    <dataValidation type="list" allowBlank="1" showInputMessage="1" showErrorMessage="1" sqref="B32:D131 P20:P26 X20:X26" xr:uid="{5CD069F9-7F78-407D-8DC4-DF94B5275079}">
      <formula1>"✓"</formula1>
    </dataValidation>
  </dataValidations>
  <printOptions horizontalCentered="1"/>
  <pageMargins left="0.55118110236220474" right="0.55118110236220474" top="0.55118110236220474" bottom="0.55118110236220474" header="0.31496062992125984" footer="0.31496062992125984"/>
  <pageSetup paperSize="9" scale="53" fitToHeight="0" orientation="portrait" r:id="rId1"/>
  <rowBreaks count="2" manualBreakCount="2">
    <brk id="60" max="44" man="1"/>
    <brk id="101" max="44" man="1"/>
  </rowBreaks>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A77639-290F-4545-8FDD-4599E374128F}">
  <sheetPr codeName="Sheet3"/>
  <dimension ref="A1:AT108"/>
  <sheetViews>
    <sheetView view="pageBreakPreview" zoomScaleNormal="100" zoomScaleSheetLayoutView="100" workbookViewId="0">
      <selection activeCell="H8" sqref="H8"/>
    </sheetView>
  </sheetViews>
  <sheetFormatPr defaultColWidth="3.25" defaultRowHeight="30" customHeight="1"/>
  <cols>
    <col min="1" max="7" width="3.25" style="3" customWidth="1"/>
    <col min="8" max="8" width="42.25" style="50" customWidth="1"/>
    <col min="9" max="9" width="46.25" style="51" customWidth="1"/>
    <col min="10" max="10" width="1.625" style="14" customWidth="1"/>
    <col min="11" max="16384" width="3.25" style="3"/>
  </cols>
  <sheetData>
    <row r="1" spans="1:46" ht="20.100000000000001" customHeight="1">
      <c r="A1" s="1" t="s">
        <v>46</v>
      </c>
      <c r="B1" s="2"/>
      <c r="C1" s="2"/>
      <c r="D1" s="2"/>
      <c r="E1" s="2"/>
      <c r="H1" s="40"/>
      <c r="I1" s="41" t="s">
        <v>47</v>
      </c>
      <c r="J1" s="5"/>
    </row>
    <row r="2" spans="1:46" ht="10.15" customHeight="1">
      <c r="H2" s="3"/>
      <c r="I2" s="3"/>
      <c r="J2" s="3"/>
      <c r="AB2" s="5"/>
      <c r="AC2" s="5"/>
      <c r="AD2" s="5"/>
      <c r="AE2" s="5"/>
      <c r="AF2" s="5"/>
      <c r="AG2" s="5"/>
      <c r="AH2" s="5"/>
      <c r="AI2" s="6"/>
      <c r="AJ2" s="6"/>
      <c r="AK2" s="6"/>
      <c r="AL2" s="6"/>
      <c r="AM2" s="6"/>
      <c r="AN2" s="6"/>
      <c r="AO2" s="6"/>
      <c r="AP2" s="6"/>
      <c r="AQ2" s="6"/>
      <c r="AR2" s="6"/>
      <c r="AS2" s="6"/>
      <c r="AT2" s="6"/>
    </row>
    <row r="3" spans="1:46" ht="20.100000000000001" customHeight="1">
      <c r="A3" s="114" t="s">
        <v>2</v>
      </c>
      <c r="B3" s="115"/>
      <c r="C3" s="115"/>
      <c r="D3" s="115"/>
      <c r="E3" s="115"/>
      <c r="F3" s="115"/>
      <c r="G3" s="116"/>
      <c r="H3" s="42" t="str">
        <f>IF('（様式2-2）参画事業者一覧'!$H3="","",'（様式2-2）参画事業者一覧'!$H3)</f>
        <v/>
      </c>
      <c r="I3" s="3"/>
      <c r="J3" s="3"/>
      <c r="AB3" s="5"/>
      <c r="AC3" s="5"/>
      <c r="AD3" s="5"/>
      <c r="AE3" s="5"/>
      <c r="AF3" s="5"/>
      <c r="AG3" s="5"/>
      <c r="AH3" s="5"/>
      <c r="AI3" s="6"/>
      <c r="AJ3" s="6"/>
      <c r="AK3" s="6"/>
      <c r="AL3" s="6"/>
      <c r="AM3" s="6"/>
      <c r="AN3" s="6"/>
      <c r="AO3" s="6"/>
      <c r="AP3" s="6"/>
      <c r="AQ3" s="6"/>
      <c r="AR3" s="6"/>
      <c r="AS3" s="6"/>
      <c r="AT3" s="6"/>
    </row>
    <row r="4" spans="1:46" ht="10.15" customHeight="1">
      <c r="H4" s="40"/>
      <c r="I4" s="43"/>
      <c r="J4" s="5"/>
    </row>
    <row r="5" spans="1:46" ht="19.149999999999999" customHeight="1">
      <c r="A5" s="44" t="s">
        <v>48</v>
      </c>
      <c r="B5" s="45"/>
      <c r="H5" s="40"/>
      <c r="I5" s="43"/>
      <c r="J5" s="5"/>
    </row>
    <row r="6" spans="1:46" ht="19.149999999999999" customHeight="1">
      <c r="A6" s="44" t="s">
        <v>49</v>
      </c>
      <c r="B6" s="45"/>
      <c r="H6" s="40"/>
      <c r="I6" s="43"/>
      <c r="J6" s="5"/>
    </row>
    <row r="7" spans="1:46" s="20" customFormat="1" ht="30" customHeight="1">
      <c r="A7" s="74" t="s">
        <v>23</v>
      </c>
      <c r="B7" s="117" t="s">
        <v>24</v>
      </c>
      <c r="C7" s="118"/>
      <c r="D7" s="118"/>
      <c r="E7" s="118"/>
      <c r="F7" s="118"/>
      <c r="G7" s="119"/>
      <c r="H7" s="75" t="s">
        <v>50</v>
      </c>
      <c r="I7" s="76" t="s">
        <v>51</v>
      </c>
      <c r="J7" s="46"/>
    </row>
    <row r="8" spans="1:46" s="20" customFormat="1" ht="15.75">
      <c r="A8" s="47">
        <v>1</v>
      </c>
      <c r="B8" s="113" t="str">
        <f>IF('（様式2-2）参画事業者一覧'!$E32="","",'（様式2-2）参画事業者一覧'!$E32)</f>
        <v/>
      </c>
      <c r="C8" s="113"/>
      <c r="D8" s="113"/>
      <c r="E8" s="113"/>
      <c r="F8" s="113"/>
      <c r="G8" s="113"/>
      <c r="H8" s="48"/>
      <c r="I8" s="49"/>
      <c r="J8" s="24"/>
      <c r="K8" s="112"/>
      <c r="L8" s="112"/>
      <c r="M8" s="112"/>
      <c r="N8" s="112"/>
      <c r="O8" s="112"/>
    </row>
    <row r="9" spans="1:46" s="20" customFormat="1" ht="15.75">
      <c r="A9" s="21">
        <v>2</v>
      </c>
      <c r="B9" s="113" t="str">
        <f>IF('（様式2-2）参画事業者一覧'!$E33="","",'（様式2-2）参画事業者一覧'!$E33)</f>
        <v/>
      </c>
      <c r="C9" s="113"/>
      <c r="D9" s="113"/>
      <c r="E9" s="113"/>
      <c r="F9" s="113"/>
      <c r="G9" s="113"/>
      <c r="H9" s="48"/>
      <c r="I9" s="49"/>
      <c r="J9" s="24"/>
    </row>
    <row r="10" spans="1:46" s="20" customFormat="1" ht="15.75">
      <c r="A10" s="21">
        <v>3</v>
      </c>
      <c r="B10" s="113" t="str">
        <f>IF('（様式2-2）参画事業者一覧'!$E34="","",'（様式2-2）参画事業者一覧'!$E34)</f>
        <v/>
      </c>
      <c r="C10" s="113"/>
      <c r="D10" s="113"/>
      <c r="E10" s="113"/>
      <c r="F10" s="113"/>
      <c r="G10" s="113"/>
      <c r="H10" s="48"/>
      <c r="I10" s="49"/>
      <c r="J10" s="24"/>
    </row>
    <row r="11" spans="1:46" s="20" customFormat="1" ht="15.75">
      <c r="A11" s="21">
        <v>4</v>
      </c>
      <c r="B11" s="113" t="str">
        <f>IF('（様式2-2）参画事業者一覧'!$E35="","",'（様式2-2）参画事業者一覧'!$E35)</f>
        <v/>
      </c>
      <c r="C11" s="113"/>
      <c r="D11" s="113"/>
      <c r="E11" s="113"/>
      <c r="F11" s="113"/>
      <c r="G11" s="113"/>
      <c r="H11" s="48"/>
      <c r="I11" s="49"/>
      <c r="J11" s="24"/>
    </row>
    <row r="12" spans="1:46" s="20" customFormat="1" ht="15.75">
      <c r="A12" s="21">
        <v>5</v>
      </c>
      <c r="B12" s="113" t="str">
        <f>IF('（様式2-2）参画事業者一覧'!$E36="","",'（様式2-2）参画事業者一覧'!$E36)</f>
        <v/>
      </c>
      <c r="C12" s="113"/>
      <c r="D12" s="113"/>
      <c r="E12" s="113"/>
      <c r="F12" s="113"/>
      <c r="G12" s="113"/>
      <c r="H12" s="48"/>
      <c r="I12" s="49"/>
      <c r="J12" s="24"/>
    </row>
    <row r="13" spans="1:46" s="20" customFormat="1" ht="15.75">
      <c r="A13" s="21">
        <v>6</v>
      </c>
      <c r="B13" s="113" t="str">
        <f>IF('（様式2-2）参画事業者一覧'!$E37="","",'（様式2-2）参画事業者一覧'!$E37)</f>
        <v/>
      </c>
      <c r="C13" s="113"/>
      <c r="D13" s="113"/>
      <c r="E13" s="113"/>
      <c r="F13" s="113"/>
      <c r="G13" s="113"/>
      <c r="H13" s="48"/>
      <c r="I13" s="49"/>
      <c r="J13" s="24"/>
    </row>
    <row r="14" spans="1:46" s="20" customFormat="1" ht="15.75">
      <c r="A14" s="21">
        <v>7</v>
      </c>
      <c r="B14" s="113" t="str">
        <f>IF('（様式2-2）参画事業者一覧'!$E38="","",'（様式2-2）参画事業者一覧'!$E38)</f>
        <v/>
      </c>
      <c r="C14" s="113"/>
      <c r="D14" s="113"/>
      <c r="E14" s="113"/>
      <c r="F14" s="113"/>
      <c r="G14" s="113"/>
      <c r="H14" s="48"/>
      <c r="I14" s="49"/>
      <c r="J14" s="24"/>
    </row>
    <row r="15" spans="1:46" s="20" customFormat="1" ht="15.75">
      <c r="A15" s="21">
        <v>8</v>
      </c>
      <c r="B15" s="113" t="str">
        <f>IF('（様式2-2）参画事業者一覧'!$E39="","",'（様式2-2）参画事業者一覧'!$E39)</f>
        <v/>
      </c>
      <c r="C15" s="113"/>
      <c r="D15" s="113"/>
      <c r="E15" s="113"/>
      <c r="F15" s="113"/>
      <c r="G15" s="113"/>
      <c r="H15" s="48"/>
      <c r="I15" s="49"/>
      <c r="J15" s="24"/>
    </row>
    <row r="16" spans="1:46" s="20" customFormat="1" ht="15.75">
      <c r="A16" s="21">
        <v>9</v>
      </c>
      <c r="B16" s="113" t="str">
        <f>IF('（様式2-2）参画事業者一覧'!$E40="","",'（様式2-2）参画事業者一覧'!$E40)</f>
        <v/>
      </c>
      <c r="C16" s="113"/>
      <c r="D16" s="113"/>
      <c r="E16" s="113"/>
      <c r="F16" s="113"/>
      <c r="G16" s="113"/>
      <c r="H16" s="48"/>
      <c r="I16" s="49"/>
      <c r="J16" s="24"/>
    </row>
    <row r="17" spans="1:10" s="20" customFormat="1" ht="15.75">
      <c r="A17" s="21">
        <v>10</v>
      </c>
      <c r="B17" s="113" t="str">
        <f>IF('（様式2-2）参画事業者一覧'!$E41="","",'（様式2-2）参画事業者一覧'!$E41)</f>
        <v/>
      </c>
      <c r="C17" s="113"/>
      <c r="D17" s="113"/>
      <c r="E17" s="113"/>
      <c r="F17" s="113"/>
      <c r="G17" s="113"/>
      <c r="H17" s="48"/>
      <c r="I17" s="49"/>
      <c r="J17" s="24"/>
    </row>
    <row r="18" spans="1:10" s="20" customFormat="1" ht="15.75">
      <c r="A18" s="21">
        <v>11</v>
      </c>
      <c r="B18" s="113" t="str">
        <f>IF('（様式2-2）参画事業者一覧'!$E42="","",'（様式2-2）参画事業者一覧'!$E42)</f>
        <v/>
      </c>
      <c r="C18" s="113"/>
      <c r="D18" s="113"/>
      <c r="E18" s="113"/>
      <c r="F18" s="113"/>
      <c r="G18" s="113"/>
      <c r="H18" s="48"/>
      <c r="I18" s="49"/>
      <c r="J18" s="24"/>
    </row>
    <row r="19" spans="1:10" s="20" customFormat="1" ht="15.75">
      <c r="A19" s="21">
        <v>12</v>
      </c>
      <c r="B19" s="113" t="str">
        <f>IF('（様式2-2）参画事業者一覧'!$E43="","",'（様式2-2）参画事業者一覧'!$E43)</f>
        <v/>
      </c>
      <c r="C19" s="113"/>
      <c r="D19" s="113"/>
      <c r="E19" s="113"/>
      <c r="F19" s="113"/>
      <c r="G19" s="113"/>
      <c r="H19" s="48"/>
      <c r="I19" s="49"/>
      <c r="J19" s="24"/>
    </row>
    <row r="20" spans="1:10" s="20" customFormat="1" ht="15.75">
      <c r="A20" s="21">
        <v>13</v>
      </c>
      <c r="B20" s="113" t="str">
        <f>IF('（様式2-2）参画事業者一覧'!$E44="","",'（様式2-2）参画事業者一覧'!$E44)</f>
        <v/>
      </c>
      <c r="C20" s="113"/>
      <c r="D20" s="113"/>
      <c r="E20" s="113"/>
      <c r="F20" s="113"/>
      <c r="G20" s="113"/>
      <c r="H20" s="48"/>
      <c r="I20" s="49"/>
      <c r="J20" s="24"/>
    </row>
    <row r="21" spans="1:10" s="20" customFormat="1" ht="15.75">
      <c r="A21" s="21">
        <v>14</v>
      </c>
      <c r="B21" s="113" t="str">
        <f>IF('（様式2-2）参画事業者一覧'!$E45="","",'（様式2-2）参画事業者一覧'!$E45)</f>
        <v/>
      </c>
      <c r="C21" s="113"/>
      <c r="D21" s="113"/>
      <c r="E21" s="113"/>
      <c r="F21" s="113"/>
      <c r="G21" s="113"/>
      <c r="H21" s="48"/>
      <c r="I21" s="49"/>
      <c r="J21" s="24"/>
    </row>
    <row r="22" spans="1:10" s="20" customFormat="1" ht="15.75">
      <c r="A22" s="21">
        <v>15</v>
      </c>
      <c r="B22" s="113" t="str">
        <f>IF('（様式2-2）参画事業者一覧'!$E46="","",'（様式2-2）参画事業者一覧'!$E46)</f>
        <v/>
      </c>
      <c r="C22" s="113"/>
      <c r="D22" s="113"/>
      <c r="E22" s="113"/>
      <c r="F22" s="113"/>
      <c r="G22" s="113"/>
      <c r="H22" s="48"/>
      <c r="I22" s="49"/>
      <c r="J22" s="24"/>
    </row>
    <row r="23" spans="1:10" s="20" customFormat="1" ht="15.75">
      <c r="A23" s="21">
        <v>16</v>
      </c>
      <c r="B23" s="113" t="str">
        <f>IF('（様式2-2）参画事業者一覧'!$E47="","",'（様式2-2）参画事業者一覧'!$E47)</f>
        <v/>
      </c>
      <c r="C23" s="113"/>
      <c r="D23" s="113"/>
      <c r="E23" s="113"/>
      <c r="F23" s="113"/>
      <c r="G23" s="113"/>
      <c r="H23" s="48"/>
      <c r="I23" s="49"/>
      <c r="J23" s="24"/>
    </row>
    <row r="24" spans="1:10" s="20" customFormat="1" ht="15.75">
      <c r="A24" s="21">
        <v>17</v>
      </c>
      <c r="B24" s="113" t="str">
        <f>IF('（様式2-2）参画事業者一覧'!$E48="","",'（様式2-2）参画事業者一覧'!$E48)</f>
        <v/>
      </c>
      <c r="C24" s="113"/>
      <c r="D24" s="113"/>
      <c r="E24" s="113"/>
      <c r="F24" s="113"/>
      <c r="G24" s="113"/>
      <c r="H24" s="48"/>
      <c r="I24" s="49"/>
      <c r="J24" s="24"/>
    </row>
    <row r="25" spans="1:10" s="20" customFormat="1" ht="15.75">
      <c r="A25" s="21">
        <v>18</v>
      </c>
      <c r="B25" s="113" t="str">
        <f>IF('（様式2-2）参画事業者一覧'!$E49="","",'（様式2-2）参画事業者一覧'!$E49)</f>
        <v/>
      </c>
      <c r="C25" s="113"/>
      <c r="D25" s="113"/>
      <c r="E25" s="113"/>
      <c r="F25" s="113"/>
      <c r="G25" s="113"/>
      <c r="H25" s="48"/>
      <c r="I25" s="49"/>
      <c r="J25" s="24"/>
    </row>
    <row r="26" spans="1:10" s="20" customFormat="1" ht="15.75">
      <c r="A26" s="21">
        <v>19</v>
      </c>
      <c r="B26" s="113" t="str">
        <f>IF('（様式2-2）参画事業者一覧'!$E50="","",'（様式2-2）参画事業者一覧'!$E50)</f>
        <v/>
      </c>
      <c r="C26" s="113"/>
      <c r="D26" s="113"/>
      <c r="E26" s="113"/>
      <c r="F26" s="113"/>
      <c r="G26" s="113"/>
      <c r="H26" s="48"/>
      <c r="I26" s="49"/>
      <c r="J26" s="24"/>
    </row>
    <row r="27" spans="1:10" s="20" customFormat="1" ht="15.75">
      <c r="A27" s="21">
        <v>20</v>
      </c>
      <c r="B27" s="113" t="str">
        <f>IF('（様式2-2）参画事業者一覧'!$E51="","",'（様式2-2）参画事業者一覧'!$E51)</f>
        <v/>
      </c>
      <c r="C27" s="113"/>
      <c r="D27" s="113"/>
      <c r="E27" s="113"/>
      <c r="F27" s="113"/>
      <c r="G27" s="113"/>
      <c r="H27" s="48"/>
      <c r="I27" s="49"/>
      <c r="J27" s="24"/>
    </row>
    <row r="28" spans="1:10" s="20" customFormat="1" ht="15.75">
      <c r="A28" s="21">
        <v>21</v>
      </c>
      <c r="B28" s="113" t="str">
        <f>IF('（様式2-2）参画事業者一覧'!$E52="","",'（様式2-2）参画事業者一覧'!$E52)</f>
        <v/>
      </c>
      <c r="C28" s="113"/>
      <c r="D28" s="113"/>
      <c r="E28" s="113"/>
      <c r="F28" s="113"/>
      <c r="G28" s="113"/>
      <c r="H28" s="48"/>
      <c r="I28" s="49"/>
      <c r="J28" s="24"/>
    </row>
    <row r="29" spans="1:10" s="20" customFormat="1" ht="15.75">
      <c r="A29" s="21">
        <v>22</v>
      </c>
      <c r="B29" s="113" t="str">
        <f>IF('（様式2-2）参画事業者一覧'!$E53="","",'（様式2-2）参画事業者一覧'!$E53)</f>
        <v/>
      </c>
      <c r="C29" s="113"/>
      <c r="D29" s="113"/>
      <c r="E29" s="113"/>
      <c r="F29" s="113"/>
      <c r="G29" s="113"/>
      <c r="H29" s="48"/>
      <c r="I29" s="49"/>
      <c r="J29" s="24"/>
    </row>
    <row r="30" spans="1:10" s="20" customFormat="1" ht="15.75">
      <c r="A30" s="21">
        <v>23</v>
      </c>
      <c r="B30" s="113" t="str">
        <f>IF('（様式2-2）参画事業者一覧'!$E54="","",'（様式2-2）参画事業者一覧'!$E54)</f>
        <v/>
      </c>
      <c r="C30" s="113"/>
      <c r="D30" s="113"/>
      <c r="E30" s="113"/>
      <c r="F30" s="113"/>
      <c r="G30" s="113"/>
      <c r="H30" s="48"/>
      <c r="I30" s="49"/>
      <c r="J30" s="24"/>
    </row>
    <row r="31" spans="1:10" s="20" customFormat="1" ht="15.75">
      <c r="A31" s="21">
        <v>24</v>
      </c>
      <c r="B31" s="113" t="str">
        <f>IF('（様式2-2）参画事業者一覧'!$E55="","",'（様式2-2）参画事業者一覧'!$E55)</f>
        <v/>
      </c>
      <c r="C31" s="113"/>
      <c r="D31" s="113"/>
      <c r="E31" s="113"/>
      <c r="F31" s="113"/>
      <c r="G31" s="113"/>
      <c r="H31" s="48"/>
      <c r="I31" s="49"/>
      <c r="J31" s="24"/>
    </row>
    <row r="32" spans="1:10" s="20" customFormat="1" ht="15.75">
      <c r="A32" s="21">
        <v>25</v>
      </c>
      <c r="B32" s="113" t="str">
        <f>IF('（様式2-2）参画事業者一覧'!$E56="","",'（様式2-2）参画事業者一覧'!$E56)</f>
        <v/>
      </c>
      <c r="C32" s="113"/>
      <c r="D32" s="113"/>
      <c r="E32" s="113"/>
      <c r="F32" s="113"/>
      <c r="G32" s="113"/>
      <c r="H32" s="48"/>
      <c r="I32" s="49"/>
      <c r="J32" s="24"/>
    </row>
    <row r="33" spans="1:12" s="20" customFormat="1" ht="15.75">
      <c r="A33" s="21">
        <v>26</v>
      </c>
      <c r="B33" s="113" t="str">
        <f>IF('（様式2-2）参画事業者一覧'!$E57="","",'（様式2-2）参画事業者一覧'!$E57)</f>
        <v/>
      </c>
      <c r="C33" s="113"/>
      <c r="D33" s="113"/>
      <c r="E33" s="113"/>
      <c r="F33" s="113"/>
      <c r="G33" s="113"/>
      <c r="H33" s="48"/>
      <c r="I33" s="49"/>
      <c r="J33" s="24"/>
    </row>
    <row r="34" spans="1:12" s="38" customFormat="1" ht="15.75">
      <c r="A34" s="21">
        <v>27</v>
      </c>
      <c r="B34" s="113" t="str">
        <f>IF('（様式2-2）参画事業者一覧'!$E58="","",'（様式2-2）参画事業者一覧'!$E58)</f>
        <v/>
      </c>
      <c r="C34" s="113"/>
      <c r="D34" s="113"/>
      <c r="E34" s="113"/>
      <c r="F34" s="113"/>
      <c r="G34" s="113"/>
      <c r="H34" s="48"/>
      <c r="I34" s="49"/>
      <c r="J34" s="24"/>
      <c r="K34" s="20"/>
      <c r="L34" s="20"/>
    </row>
    <row r="35" spans="1:12" s="38" customFormat="1" ht="15.75">
      <c r="A35" s="21">
        <v>28</v>
      </c>
      <c r="B35" s="113" t="str">
        <f>IF('（様式2-2）参画事業者一覧'!$E59="","",'（様式2-2）参画事業者一覧'!$E59)</f>
        <v/>
      </c>
      <c r="C35" s="113"/>
      <c r="D35" s="113"/>
      <c r="E35" s="113"/>
      <c r="F35" s="113"/>
      <c r="G35" s="113"/>
      <c r="H35" s="48"/>
      <c r="I35" s="49"/>
      <c r="J35" s="24"/>
      <c r="K35" s="20"/>
      <c r="L35" s="20"/>
    </row>
    <row r="36" spans="1:12" s="38" customFormat="1" ht="15.75">
      <c r="A36" s="21">
        <v>29</v>
      </c>
      <c r="B36" s="113" t="str">
        <f>IF('（様式2-2）参画事業者一覧'!$E60="","",'（様式2-2）参画事業者一覧'!$E60)</f>
        <v/>
      </c>
      <c r="C36" s="113"/>
      <c r="D36" s="113"/>
      <c r="E36" s="113"/>
      <c r="F36" s="113"/>
      <c r="G36" s="113"/>
      <c r="H36" s="48"/>
      <c r="I36" s="49"/>
      <c r="J36" s="24"/>
      <c r="K36" s="20"/>
      <c r="L36" s="20"/>
    </row>
    <row r="37" spans="1:12" s="38" customFormat="1" ht="15.75">
      <c r="A37" s="21">
        <v>30</v>
      </c>
      <c r="B37" s="113" t="str">
        <f>IF('（様式2-2）参画事業者一覧'!$E61="","",'（様式2-2）参画事業者一覧'!$E61)</f>
        <v/>
      </c>
      <c r="C37" s="113"/>
      <c r="D37" s="113"/>
      <c r="E37" s="113"/>
      <c r="F37" s="113"/>
      <c r="G37" s="113"/>
      <c r="H37" s="48"/>
      <c r="I37" s="49"/>
      <c r="J37" s="24"/>
      <c r="K37" s="20"/>
      <c r="L37" s="20"/>
    </row>
    <row r="38" spans="1:12" s="38" customFormat="1" ht="15.75">
      <c r="A38" s="21">
        <v>31</v>
      </c>
      <c r="B38" s="113" t="str">
        <f>IF('（様式2-2）参画事業者一覧'!$E62="","",'（様式2-2）参画事業者一覧'!$E62)</f>
        <v/>
      </c>
      <c r="C38" s="113"/>
      <c r="D38" s="113"/>
      <c r="E38" s="113"/>
      <c r="F38" s="113"/>
      <c r="G38" s="113"/>
      <c r="H38" s="48"/>
      <c r="I38" s="49"/>
      <c r="J38" s="24"/>
      <c r="K38" s="20"/>
      <c r="L38" s="20"/>
    </row>
    <row r="39" spans="1:12" s="38" customFormat="1" ht="15.75">
      <c r="A39" s="21">
        <v>32</v>
      </c>
      <c r="B39" s="113" t="str">
        <f>IF('（様式2-2）参画事業者一覧'!$E63="","",'（様式2-2）参画事業者一覧'!$E63)</f>
        <v/>
      </c>
      <c r="C39" s="113"/>
      <c r="D39" s="113"/>
      <c r="E39" s="113"/>
      <c r="F39" s="113"/>
      <c r="G39" s="113"/>
      <c r="H39" s="48"/>
      <c r="I39" s="49"/>
      <c r="J39" s="24"/>
      <c r="K39" s="20"/>
      <c r="L39" s="20"/>
    </row>
    <row r="40" spans="1:12" s="38" customFormat="1" ht="15.75">
      <c r="A40" s="21">
        <v>33</v>
      </c>
      <c r="B40" s="113" t="str">
        <f>IF('（様式2-2）参画事業者一覧'!$E64="","",'（様式2-2）参画事業者一覧'!$E64)</f>
        <v/>
      </c>
      <c r="C40" s="113"/>
      <c r="D40" s="113"/>
      <c r="E40" s="113"/>
      <c r="F40" s="113"/>
      <c r="G40" s="113"/>
      <c r="H40" s="48"/>
      <c r="I40" s="49"/>
      <c r="J40" s="24"/>
      <c r="K40" s="20"/>
      <c r="L40" s="20"/>
    </row>
    <row r="41" spans="1:12" s="38" customFormat="1" ht="15.75">
      <c r="A41" s="21">
        <v>34</v>
      </c>
      <c r="B41" s="113" t="str">
        <f>IF('（様式2-2）参画事業者一覧'!$E65="","",'（様式2-2）参画事業者一覧'!$E65)</f>
        <v/>
      </c>
      <c r="C41" s="113"/>
      <c r="D41" s="113"/>
      <c r="E41" s="113"/>
      <c r="F41" s="113"/>
      <c r="G41" s="113"/>
      <c r="H41" s="48"/>
      <c r="I41" s="49"/>
      <c r="J41" s="24"/>
      <c r="K41" s="20"/>
      <c r="L41" s="20"/>
    </row>
    <row r="42" spans="1:12" s="38" customFormat="1" ht="15.75">
      <c r="A42" s="21">
        <v>35</v>
      </c>
      <c r="B42" s="113" t="str">
        <f>IF('（様式2-2）参画事業者一覧'!$E66="","",'（様式2-2）参画事業者一覧'!$E66)</f>
        <v/>
      </c>
      <c r="C42" s="113"/>
      <c r="D42" s="113"/>
      <c r="E42" s="113"/>
      <c r="F42" s="113"/>
      <c r="G42" s="113"/>
      <c r="H42" s="48"/>
      <c r="I42" s="49"/>
      <c r="J42" s="24"/>
      <c r="K42" s="20"/>
      <c r="L42" s="20"/>
    </row>
    <row r="43" spans="1:12" s="38" customFormat="1" ht="15.75">
      <c r="A43" s="21">
        <v>36</v>
      </c>
      <c r="B43" s="113" t="str">
        <f>IF('（様式2-2）参画事業者一覧'!$E67="","",'（様式2-2）参画事業者一覧'!$E67)</f>
        <v/>
      </c>
      <c r="C43" s="113"/>
      <c r="D43" s="113"/>
      <c r="E43" s="113"/>
      <c r="F43" s="113"/>
      <c r="G43" s="113"/>
      <c r="H43" s="48"/>
      <c r="I43" s="49"/>
      <c r="J43" s="24"/>
      <c r="K43" s="20"/>
      <c r="L43" s="20"/>
    </row>
    <row r="44" spans="1:12" s="38" customFormat="1" ht="15.75">
      <c r="A44" s="21">
        <v>37</v>
      </c>
      <c r="B44" s="113" t="str">
        <f>IF('（様式2-2）参画事業者一覧'!$E68="","",'（様式2-2）参画事業者一覧'!$E68)</f>
        <v/>
      </c>
      <c r="C44" s="113"/>
      <c r="D44" s="113"/>
      <c r="E44" s="113"/>
      <c r="F44" s="113"/>
      <c r="G44" s="113"/>
      <c r="H44" s="48"/>
      <c r="I44" s="49"/>
      <c r="J44" s="24"/>
      <c r="K44" s="20"/>
      <c r="L44" s="20"/>
    </row>
    <row r="45" spans="1:12" s="38" customFormat="1" ht="15.75">
      <c r="A45" s="21">
        <v>38</v>
      </c>
      <c r="B45" s="113" t="str">
        <f>IF('（様式2-2）参画事業者一覧'!$E69="","",'（様式2-2）参画事業者一覧'!$E69)</f>
        <v/>
      </c>
      <c r="C45" s="113"/>
      <c r="D45" s="113"/>
      <c r="E45" s="113"/>
      <c r="F45" s="113"/>
      <c r="G45" s="113"/>
      <c r="H45" s="48"/>
      <c r="I45" s="49"/>
      <c r="J45" s="24"/>
      <c r="K45" s="20"/>
      <c r="L45" s="20"/>
    </row>
    <row r="46" spans="1:12" s="38" customFormat="1" ht="15.75">
      <c r="A46" s="21">
        <v>39</v>
      </c>
      <c r="B46" s="113" t="str">
        <f>IF('（様式2-2）参画事業者一覧'!$E70="","",'（様式2-2）参画事業者一覧'!$E70)</f>
        <v/>
      </c>
      <c r="C46" s="113"/>
      <c r="D46" s="113"/>
      <c r="E46" s="113"/>
      <c r="F46" s="113"/>
      <c r="G46" s="113"/>
      <c r="H46" s="48"/>
      <c r="I46" s="49"/>
      <c r="J46" s="24"/>
      <c r="K46" s="20"/>
      <c r="L46" s="20"/>
    </row>
    <row r="47" spans="1:12" s="38" customFormat="1" ht="15.75">
      <c r="A47" s="21">
        <v>40</v>
      </c>
      <c r="B47" s="113" t="str">
        <f>IF('（様式2-2）参画事業者一覧'!$E71="","",'（様式2-2）参画事業者一覧'!$E71)</f>
        <v/>
      </c>
      <c r="C47" s="113"/>
      <c r="D47" s="113"/>
      <c r="E47" s="113"/>
      <c r="F47" s="113"/>
      <c r="G47" s="113"/>
      <c r="H47" s="48"/>
      <c r="I47" s="49"/>
      <c r="J47" s="24"/>
      <c r="K47" s="20"/>
      <c r="L47" s="20"/>
    </row>
    <row r="48" spans="1:12" s="38" customFormat="1" ht="15.75">
      <c r="A48" s="21">
        <v>41</v>
      </c>
      <c r="B48" s="113" t="str">
        <f>IF('（様式2-2）参画事業者一覧'!$E72="","",'（様式2-2）参画事業者一覧'!$E72)</f>
        <v/>
      </c>
      <c r="C48" s="113"/>
      <c r="D48" s="113"/>
      <c r="E48" s="113"/>
      <c r="F48" s="113"/>
      <c r="G48" s="113"/>
      <c r="H48" s="48"/>
      <c r="I48" s="49"/>
      <c r="J48" s="24"/>
      <c r="K48" s="20"/>
      <c r="L48" s="20"/>
    </row>
    <row r="49" spans="1:12" s="38" customFormat="1" ht="15.75">
      <c r="A49" s="21">
        <v>42</v>
      </c>
      <c r="B49" s="113" t="str">
        <f>IF('（様式2-2）参画事業者一覧'!$E73="","",'（様式2-2）参画事業者一覧'!$E73)</f>
        <v/>
      </c>
      <c r="C49" s="113"/>
      <c r="D49" s="113"/>
      <c r="E49" s="113"/>
      <c r="F49" s="113"/>
      <c r="G49" s="113"/>
      <c r="H49" s="48"/>
      <c r="I49" s="49"/>
      <c r="J49" s="24"/>
      <c r="K49" s="20"/>
      <c r="L49" s="20"/>
    </row>
    <row r="50" spans="1:12" s="38" customFormat="1" ht="15.75">
      <c r="A50" s="21">
        <v>43</v>
      </c>
      <c r="B50" s="113" t="str">
        <f>IF('（様式2-2）参画事業者一覧'!$E74="","",'（様式2-2）参画事業者一覧'!$E74)</f>
        <v/>
      </c>
      <c r="C50" s="113"/>
      <c r="D50" s="113"/>
      <c r="E50" s="113"/>
      <c r="F50" s="113"/>
      <c r="G50" s="113"/>
      <c r="H50" s="48"/>
      <c r="I50" s="49"/>
      <c r="J50" s="24"/>
      <c r="K50" s="20"/>
      <c r="L50" s="20"/>
    </row>
    <row r="51" spans="1:12" s="38" customFormat="1" ht="15.75">
      <c r="A51" s="21">
        <v>44</v>
      </c>
      <c r="B51" s="113" t="str">
        <f>IF('（様式2-2）参画事業者一覧'!$E75="","",'（様式2-2）参画事業者一覧'!$E75)</f>
        <v/>
      </c>
      <c r="C51" s="113"/>
      <c r="D51" s="113"/>
      <c r="E51" s="113"/>
      <c r="F51" s="113"/>
      <c r="G51" s="113"/>
      <c r="H51" s="48"/>
      <c r="I51" s="49"/>
      <c r="J51" s="24"/>
      <c r="K51" s="20"/>
      <c r="L51" s="20"/>
    </row>
    <row r="52" spans="1:12" s="38" customFormat="1" ht="15.75">
      <c r="A52" s="21">
        <v>45</v>
      </c>
      <c r="B52" s="113" t="str">
        <f>IF('（様式2-2）参画事業者一覧'!$E76="","",'（様式2-2）参画事業者一覧'!$E76)</f>
        <v/>
      </c>
      <c r="C52" s="113"/>
      <c r="D52" s="113"/>
      <c r="E52" s="113"/>
      <c r="F52" s="113"/>
      <c r="G52" s="113"/>
      <c r="H52" s="48"/>
      <c r="I52" s="49"/>
      <c r="J52" s="24"/>
      <c r="K52" s="20"/>
      <c r="L52" s="20"/>
    </row>
    <row r="53" spans="1:12" s="38" customFormat="1" ht="15.75">
      <c r="A53" s="21">
        <v>46</v>
      </c>
      <c r="B53" s="113" t="str">
        <f>IF('（様式2-2）参画事業者一覧'!$E77="","",'（様式2-2）参画事業者一覧'!$E77)</f>
        <v/>
      </c>
      <c r="C53" s="113"/>
      <c r="D53" s="113"/>
      <c r="E53" s="113"/>
      <c r="F53" s="113"/>
      <c r="G53" s="113"/>
      <c r="H53" s="48"/>
      <c r="I53" s="49"/>
      <c r="J53" s="24"/>
      <c r="K53" s="20"/>
      <c r="L53" s="20"/>
    </row>
    <row r="54" spans="1:12" s="38" customFormat="1" ht="15.75">
      <c r="A54" s="21">
        <v>47</v>
      </c>
      <c r="B54" s="113" t="str">
        <f>IF('（様式2-2）参画事業者一覧'!$E78="","",'（様式2-2）参画事業者一覧'!$E78)</f>
        <v/>
      </c>
      <c r="C54" s="113"/>
      <c r="D54" s="113"/>
      <c r="E54" s="113"/>
      <c r="F54" s="113"/>
      <c r="G54" s="113"/>
      <c r="H54" s="48"/>
      <c r="I54" s="49"/>
      <c r="J54" s="24"/>
      <c r="K54" s="20"/>
      <c r="L54" s="20"/>
    </row>
    <row r="55" spans="1:12" s="38" customFormat="1" ht="15.75">
      <c r="A55" s="21">
        <v>48</v>
      </c>
      <c r="B55" s="113" t="str">
        <f>IF('（様式2-2）参画事業者一覧'!$E79="","",'（様式2-2）参画事業者一覧'!$E79)</f>
        <v/>
      </c>
      <c r="C55" s="113"/>
      <c r="D55" s="113"/>
      <c r="E55" s="113"/>
      <c r="F55" s="113"/>
      <c r="G55" s="113"/>
      <c r="H55" s="48"/>
      <c r="I55" s="49"/>
      <c r="J55" s="24"/>
      <c r="K55" s="20"/>
      <c r="L55" s="20"/>
    </row>
    <row r="56" spans="1:12" s="38" customFormat="1" ht="15.75">
      <c r="A56" s="21">
        <v>49</v>
      </c>
      <c r="B56" s="113" t="str">
        <f>IF('（様式2-2）参画事業者一覧'!$E80="","",'（様式2-2）参画事業者一覧'!$E80)</f>
        <v/>
      </c>
      <c r="C56" s="113"/>
      <c r="D56" s="113"/>
      <c r="E56" s="113"/>
      <c r="F56" s="113"/>
      <c r="G56" s="113"/>
      <c r="H56" s="48"/>
      <c r="I56" s="49"/>
      <c r="J56" s="24"/>
      <c r="K56" s="20"/>
      <c r="L56" s="20"/>
    </row>
    <row r="57" spans="1:12" s="38" customFormat="1" ht="15.75">
      <c r="A57" s="21">
        <v>50</v>
      </c>
      <c r="B57" s="113" t="str">
        <f>IF('（様式2-2）参画事業者一覧'!$E81="","",'（様式2-2）参画事業者一覧'!$E81)</f>
        <v/>
      </c>
      <c r="C57" s="113"/>
      <c r="D57" s="113"/>
      <c r="E57" s="113"/>
      <c r="F57" s="113"/>
      <c r="G57" s="113"/>
      <c r="H57" s="48"/>
      <c r="I57" s="49"/>
      <c r="J57" s="24"/>
      <c r="K57" s="20"/>
      <c r="L57" s="20"/>
    </row>
    <row r="58" spans="1:12" s="38" customFormat="1" ht="15.75">
      <c r="A58" s="21">
        <v>51</v>
      </c>
      <c r="B58" s="113" t="str">
        <f>IF('（様式2-2）参画事業者一覧'!$E82="","",'（様式2-2）参画事業者一覧'!$E82)</f>
        <v/>
      </c>
      <c r="C58" s="113"/>
      <c r="D58" s="113"/>
      <c r="E58" s="113"/>
      <c r="F58" s="113"/>
      <c r="G58" s="113"/>
      <c r="H58" s="48"/>
      <c r="I58" s="49"/>
      <c r="J58" s="24"/>
      <c r="K58" s="20"/>
      <c r="L58" s="20"/>
    </row>
    <row r="59" spans="1:12" s="38" customFormat="1" ht="15.75">
      <c r="A59" s="21">
        <v>52</v>
      </c>
      <c r="B59" s="113" t="str">
        <f>IF('（様式2-2）参画事業者一覧'!$E83="","",'（様式2-2）参画事業者一覧'!$E83)</f>
        <v/>
      </c>
      <c r="C59" s="113"/>
      <c r="D59" s="113"/>
      <c r="E59" s="113"/>
      <c r="F59" s="113"/>
      <c r="G59" s="113"/>
      <c r="H59" s="48"/>
      <c r="I59" s="49"/>
      <c r="J59" s="24"/>
      <c r="K59" s="20"/>
      <c r="L59" s="20"/>
    </row>
    <row r="60" spans="1:12" s="38" customFormat="1" ht="15.75">
      <c r="A60" s="21">
        <v>53</v>
      </c>
      <c r="B60" s="113" t="str">
        <f>IF('（様式2-2）参画事業者一覧'!$E84="","",'（様式2-2）参画事業者一覧'!$E84)</f>
        <v/>
      </c>
      <c r="C60" s="113"/>
      <c r="D60" s="113"/>
      <c r="E60" s="113"/>
      <c r="F60" s="113"/>
      <c r="G60" s="113"/>
      <c r="H60" s="48"/>
      <c r="I60" s="49"/>
      <c r="J60" s="24"/>
      <c r="K60" s="20"/>
      <c r="L60" s="20"/>
    </row>
    <row r="61" spans="1:12" s="38" customFormat="1" ht="15.75">
      <c r="A61" s="21">
        <v>54</v>
      </c>
      <c r="B61" s="113" t="str">
        <f>IF('（様式2-2）参画事業者一覧'!$E85="","",'（様式2-2）参画事業者一覧'!$E85)</f>
        <v/>
      </c>
      <c r="C61" s="113"/>
      <c r="D61" s="113"/>
      <c r="E61" s="113"/>
      <c r="F61" s="113"/>
      <c r="G61" s="113"/>
      <c r="H61" s="48"/>
      <c r="I61" s="49"/>
      <c r="J61" s="24"/>
      <c r="K61" s="20"/>
      <c r="L61" s="20"/>
    </row>
    <row r="62" spans="1:12" s="38" customFormat="1" ht="15.75">
      <c r="A62" s="21">
        <v>55</v>
      </c>
      <c r="B62" s="113" t="str">
        <f>IF('（様式2-2）参画事業者一覧'!$E86="","",'（様式2-2）参画事業者一覧'!$E86)</f>
        <v/>
      </c>
      <c r="C62" s="113"/>
      <c r="D62" s="113"/>
      <c r="E62" s="113"/>
      <c r="F62" s="113"/>
      <c r="G62" s="113"/>
      <c r="H62" s="48"/>
      <c r="I62" s="49"/>
      <c r="J62" s="24"/>
      <c r="K62" s="20"/>
      <c r="L62" s="20"/>
    </row>
    <row r="63" spans="1:12" s="38" customFormat="1" ht="15.75">
      <c r="A63" s="21">
        <v>56</v>
      </c>
      <c r="B63" s="113" t="str">
        <f>IF('（様式2-2）参画事業者一覧'!$E87="","",'（様式2-2）参画事業者一覧'!$E87)</f>
        <v/>
      </c>
      <c r="C63" s="113"/>
      <c r="D63" s="113"/>
      <c r="E63" s="113"/>
      <c r="F63" s="113"/>
      <c r="G63" s="113"/>
      <c r="H63" s="48"/>
      <c r="I63" s="49"/>
      <c r="J63" s="24"/>
      <c r="K63" s="20"/>
      <c r="L63" s="20"/>
    </row>
    <row r="64" spans="1:12" s="38" customFormat="1" ht="15.75">
      <c r="A64" s="21">
        <v>57</v>
      </c>
      <c r="B64" s="113" t="str">
        <f>IF('（様式2-2）参画事業者一覧'!$E88="","",'（様式2-2）参画事業者一覧'!$E88)</f>
        <v/>
      </c>
      <c r="C64" s="113"/>
      <c r="D64" s="113"/>
      <c r="E64" s="113"/>
      <c r="F64" s="113"/>
      <c r="G64" s="113"/>
      <c r="H64" s="48"/>
      <c r="I64" s="49"/>
      <c r="J64" s="24"/>
      <c r="K64" s="20"/>
      <c r="L64" s="20"/>
    </row>
    <row r="65" spans="1:12" s="38" customFormat="1" ht="15.75">
      <c r="A65" s="21">
        <v>58</v>
      </c>
      <c r="B65" s="113" t="str">
        <f>IF('（様式2-2）参画事業者一覧'!$E89="","",'（様式2-2）参画事業者一覧'!$E89)</f>
        <v/>
      </c>
      <c r="C65" s="113"/>
      <c r="D65" s="113"/>
      <c r="E65" s="113"/>
      <c r="F65" s="113"/>
      <c r="G65" s="113"/>
      <c r="H65" s="48"/>
      <c r="I65" s="49"/>
      <c r="J65" s="24"/>
      <c r="K65" s="20"/>
      <c r="L65" s="20"/>
    </row>
    <row r="66" spans="1:12" s="38" customFormat="1" ht="15.75">
      <c r="A66" s="21">
        <v>59</v>
      </c>
      <c r="B66" s="113" t="str">
        <f>IF('（様式2-2）参画事業者一覧'!$E90="","",'（様式2-2）参画事業者一覧'!$E90)</f>
        <v/>
      </c>
      <c r="C66" s="113"/>
      <c r="D66" s="113"/>
      <c r="E66" s="113"/>
      <c r="F66" s="113"/>
      <c r="G66" s="113"/>
      <c r="H66" s="48"/>
      <c r="I66" s="49"/>
      <c r="J66" s="24"/>
      <c r="K66" s="20"/>
      <c r="L66" s="20"/>
    </row>
    <row r="67" spans="1:12" s="38" customFormat="1" ht="15.75">
      <c r="A67" s="21">
        <v>60</v>
      </c>
      <c r="B67" s="113" t="str">
        <f>IF('（様式2-2）参画事業者一覧'!$E91="","",'（様式2-2）参画事業者一覧'!$E91)</f>
        <v/>
      </c>
      <c r="C67" s="113"/>
      <c r="D67" s="113"/>
      <c r="E67" s="113"/>
      <c r="F67" s="113"/>
      <c r="G67" s="113"/>
      <c r="H67" s="48"/>
      <c r="I67" s="49"/>
      <c r="J67" s="24"/>
      <c r="K67" s="20"/>
      <c r="L67" s="20"/>
    </row>
    <row r="68" spans="1:12" s="38" customFormat="1" ht="15.75">
      <c r="A68" s="21">
        <v>61</v>
      </c>
      <c r="B68" s="113" t="str">
        <f>IF('（様式2-2）参画事業者一覧'!$E92="","",'（様式2-2）参画事業者一覧'!$E92)</f>
        <v/>
      </c>
      <c r="C68" s="113"/>
      <c r="D68" s="113"/>
      <c r="E68" s="113"/>
      <c r="F68" s="113"/>
      <c r="G68" s="113"/>
      <c r="H68" s="48"/>
      <c r="I68" s="49"/>
      <c r="J68" s="24"/>
      <c r="K68" s="20"/>
      <c r="L68" s="20"/>
    </row>
    <row r="69" spans="1:12" s="38" customFormat="1" ht="15.75">
      <c r="A69" s="21">
        <v>62</v>
      </c>
      <c r="B69" s="113" t="str">
        <f>IF('（様式2-2）参画事業者一覧'!$E93="","",'（様式2-2）参画事業者一覧'!$E93)</f>
        <v/>
      </c>
      <c r="C69" s="113"/>
      <c r="D69" s="113"/>
      <c r="E69" s="113"/>
      <c r="F69" s="113"/>
      <c r="G69" s="113"/>
      <c r="H69" s="48"/>
      <c r="I69" s="49"/>
      <c r="J69" s="24"/>
      <c r="K69" s="20"/>
      <c r="L69" s="20"/>
    </row>
    <row r="70" spans="1:12" s="38" customFormat="1" ht="15.75">
      <c r="A70" s="21">
        <v>63</v>
      </c>
      <c r="B70" s="113" t="str">
        <f>IF('（様式2-2）参画事業者一覧'!$E94="","",'（様式2-2）参画事業者一覧'!$E94)</f>
        <v/>
      </c>
      <c r="C70" s="113"/>
      <c r="D70" s="113"/>
      <c r="E70" s="113"/>
      <c r="F70" s="113"/>
      <c r="G70" s="113"/>
      <c r="H70" s="48"/>
      <c r="I70" s="49"/>
      <c r="J70" s="24"/>
      <c r="K70" s="20"/>
      <c r="L70" s="20"/>
    </row>
    <row r="71" spans="1:12" s="38" customFormat="1" ht="15.75">
      <c r="A71" s="21">
        <v>64</v>
      </c>
      <c r="B71" s="113" t="str">
        <f>IF('（様式2-2）参画事業者一覧'!$E95="","",'（様式2-2）参画事業者一覧'!$E95)</f>
        <v/>
      </c>
      <c r="C71" s="113"/>
      <c r="D71" s="113"/>
      <c r="E71" s="113"/>
      <c r="F71" s="113"/>
      <c r="G71" s="113"/>
      <c r="H71" s="48"/>
      <c r="I71" s="49"/>
      <c r="J71" s="24"/>
      <c r="K71" s="20"/>
      <c r="L71" s="20"/>
    </row>
    <row r="72" spans="1:12" s="38" customFormat="1" ht="15.75">
      <c r="A72" s="21">
        <v>65</v>
      </c>
      <c r="B72" s="113" t="str">
        <f>IF('（様式2-2）参画事業者一覧'!$E96="","",'（様式2-2）参画事業者一覧'!$E96)</f>
        <v/>
      </c>
      <c r="C72" s="113"/>
      <c r="D72" s="113"/>
      <c r="E72" s="113"/>
      <c r="F72" s="113"/>
      <c r="G72" s="113"/>
      <c r="H72" s="48"/>
      <c r="I72" s="49"/>
      <c r="J72" s="24"/>
      <c r="K72" s="20"/>
      <c r="L72" s="20"/>
    </row>
    <row r="73" spans="1:12" s="38" customFormat="1" ht="15.75">
      <c r="A73" s="21">
        <v>66</v>
      </c>
      <c r="B73" s="113" t="str">
        <f>IF('（様式2-2）参画事業者一覧'!$E97="","",'（様式2-2）参画事業者一覧'!$E97)</f>
        <v/>
      </c>
      <c r="C73" s="113"/>
      <c r="D73" s="113"/>
      <c r="E73" s="113"/>
      <c r="F73" s="113"/>
      <c r="G73" s="113"/>
      <c r="H73" s="48"/>
      <c r="I73" s="49"/>
      <c r="J73" s="24"/>
      <c r="K73" s="20"/>
      <c r="L73" s="20"/>
    </row>
    <row r="74" spans="1:12" s="38" customFormat="1" ht="15.75">
      <c r="A74" s="21">
        <v>67</v>
      </c>
      <c r="B74" s="113" t="str">
        <f>IF('（様式2-2）参画事業者一覧'!$E98="","",'（様式2-2）参画事業者一覧'!$E98)</f>
        <v/>
      </c>
      <c r="C74" s="113"/>
      <c r="D74" s="113"/>
      <c r="E74" s="113"/>
      <c r="F74" s="113"/>
      <c r="G74" s="113"/>
      <c r="H74" s="48"/>
      <c r="I74" s="49"/>
      <c r="J74" s="24"/>
      <c r="K74" s="20"/>
      <c r="L74" s="20"/>
    </row>
    <row r="75" spans="1:12" s="38" customFormat="1" ht="15.75">
      <c r="A75" s="21">
        <v>68</v>
      </c>
      <c r="B75" s="113" t="str">
        <f>IF('（様式2-2）参画事業者一覧'!$E99="","",'（様式2-2）参画事業者一覧'!$E99)</f>
        <v/>
      </c>
      <c r="C75" s="113"/>
      <c r="D75" s="113"/>
      <c r="E75" s="113"/>
      <c r="F75" s="113"/>
      <c r="G75" s="113"/>
      <c r="H75" s="48"/>
      <c r="I75" s="49"/>
      <c r="J75" s="24"/>
      <c r="K75" s="20"/>
      <c r="L75" s="20"/>
    </row>
    <row r="76" spans="1:12" s="38" customFormat="1" ht="15.75">
      <c r="A76" s="21">
        <v>69</v>
      </c>
      <c r="B76" s="113" t="str">
        <f>IF('（様式2-2）参画事業者一覧'!$E100="","",'（様式2-2）参画事業者一覧'!$E100)</f>
        <v/>
      </c>
      <c r="C76" s="113"/>
      <c r="D76" s="113"/>
      <c r="E76" s="113"/>
      <c r="F76" s="113"/>
      <c r="G76" s="113"/>
      <c r="H76" s="48"/>
      <c r="I76" s="49"/>
      <c r="J76" s="24"/>
      <c r="K76" s="20"/>
      <c r="L76" s="20"/>
    </row>
    <row r="77" spans="1:12" s="38" customFormat="1" ht="15.75">
      <c r="A77" s="21">
        <v>70</v>
      </c>
      <c r="B77" s="113" t="str">
        <f>IF('（様式2-2）参画事業者一覧'!$E101="","",'（様式2-2）参画事業者一覧'!$E101)</f>
        <v/>
      </c>
      <c r="C77" s="113"/>
      <c r="D77" s="113"/>
      <c r="E77" s="113"/>
      <c r="F77" s="113"/>
      <c r="G77" s="113"/>
      <c r="H77" s="48"/>
      <c r="I77" s="49"/>
      <c r="J77" s="24"/>
      <c r="K77" s="20"/>
      <c r="L77" s="20"/>
    </row>
    <row r="78" spans="1:12" s="38" customFormat="1" ht="15.75">
      <c r="A78" s="21">
        <v>71</v>
      </c>
      <c r="B78" s="113" t="str">
        <f>IF('（様式2-2）参画事業者一覧'!$E102="","",'（様式2-2）参画事業者一覧'!$E102)</f>
        <v/>
      </c>
      <c r="C78" s="113"/>
      <c r="D78" s="113"/>
      <c r="E78" s="113"/>
      <c r="F78" s="113"/>
      <c r="G78" s="113"/>
      <c r="H78" s="48"/>
      <c r="I78" s="49"/>
      <c r="J78" s="24"/>
      <c r="K78" s="20"/>
      <c r="L78" s="20"/>
    </row>
    <row r="79" spans="1:12" s="38" customFormat="1" ht="15.75">
      <c r="A79" s="21">
        <v>72</v>
      </c>
      <c r="B79" s="113" t="str">
        <f>IF('（様式2-2）参画事業者一覧'!$E103="","",'（様式2-2）参画事業者一覧'!$E103)</f>
        <v/>
      </c>
      <c r="C79" s="113"/>
      <c r="D79" s="113"/>
      <c r="E79" s="113"/>
      <c r="F79" s="113"/>
      <c r="G79" s="113"/>
      <c r="H79" s="48"/>
      <c r="I79" s="49"/>
      <c r="J79" s="24"/>
      <c r="K79" s="20"/>
      <c r="L79" s="20"/>
    </row>
    <row r="80" spans="1:12" s="38" customFormat="1" ht="15.75">
      <c r="A80" s="21">
        <v>73</v>
      </c>
      <c r="B80" s="113" t="str">
        <f>IF('（様式2-2）参画事業者一覧'!$E104="","",'（様式2-2）参画事業者一覧'!$E104)</f>
        <v/>
      </c>
      <c r="C80" s="113"/>
      <c r="D80" s="113"/>
      <c r="E80" s="113"/>
      <c r="F80" s="113"/>
      <c r="G80" s="113"/>
      <c r="H80" s="48"/>
      <c r="I80" s="49"/>
      <c r="J80" s="24"/>
      <c r="K80" s="20"/>
      <c r="L80" s="20"/>
    </row>
    <row r="81" spans="1:12" s="38" customFormat="1" ht="15.75">
      <c r="A81" s="21">
        <v>74</v>
      </c>
      <c r="B81" s="113" t="str">
        <f>IF('（様式2-2）参画事業者一覧'!$E105="","",'（様式2-2）参画事業者一覧'!$E105)</f>
        <v/>
      </c>
      <c r="C81" s="113"/>
      <c r="D81" s="113"/>
      <c r="E81" s="113"/>
      <c r="F81" s="113"/>
      <c r="G81" s="113"/>
      <c r="H81" s="48"/>
      <c r="I81" s="49"/>
      <c r="J81" s="24"/>
      <c r="K81" s="20"/>
      <c r="L81" s="20"/>
    </row>
    <row r="82" spans="1:12" s="38" customFormat="1" ht="15.75">
      <c r="A82" s="21">
        <v>75</v>
      </c>
      <c r="B82" s="113" t="str">
        <f>IF('（様式2-2）参画事業者一覧'!$E106="","",'（様式2-2）参画事業者一覧'!$E106)</f>
        <v/>
      </c>
      <c r="C82" s="113"/>
      <c r="D82" s="113"/>
      <c r="E82" s="113"/>
      <c r="F82" s="113"/>
      <c r="G82" s="113"/>
      <c r="H82" s="48"/>
      <c r="I82" s="49"/>
      <c r="J82" s="24"/>
      <c r="K82" s="20"/>
      <c r="L82" s="20"/>
    </row>
    <row r="83" spans="1:12" s="38" customFormat="1" ht="15.75">
      <c r="A83" s="21">
        <v>76</v>
      </c>
      <c r="B83" s="113" t="str">
        <f>IF('（様式2-2）参画事業者一覧'!$E107="","",'（様式2-2）参画事業者一覧'!$E107)</f>
        <v/>
      </c>
      <c r="C83" s="113"/>
      <c r="D83" s="113"/>
      <c r="E83" s="113"/>
      <c r="F83" s="113"/>
      <c r="G83" s="113"/>
      <c r="H83" s="48"/>
      <c r="I83" s="49"/>
      <c r="J83" s="24"/>
      <c r="K83" s="20"/>
      <c r="L83" s="20"/>
    </row>
    <row r="84" spans="1:12" s="38" customFormat="1" ht="15.75">
      <c r="A84" s="21">
        <v>77</v>
      </c>
      <c r="B84" s="113" t="str">
        <f>IF('（様式2-2）参画事業者一覧'!$E108="","",'（様式2-2）参画事業者一覧'!$E108)</f>
        <v/>
      </c>
      <c r="C84" s="113"/>
      <c r="D84" s="113"/>
      <c r="E84" s="113"/>
      <c r="F84" s="113"/>
      <c r="G84" s="113"/>
      <c r="H84" s="48"/>
      <c r="I84" s="49"/>
      <c r="J84" s="24"/>
      <c r="K84" s="20"/>
      <c r="L84" s="20"/>
    </row>
    <row r="85" spans="1:12" s="38" customFormat="1" ht="15.75">
      <c r="A85" s="21">
        <v>78</v>
      </c>
      <c r="B85" s="113" t="str">
        <f>IF('（様式2-2）参画事業者一覧'!$E109="","",'（様式2-2）参画事業者一覧'!$E109)</f>
        <v/>
      </c>
      <c r="C85" s="113"/>
      <c r="D85" s="113"/>
      <c r="E85" s="113"/>
      <c r="F85" s="113"/>
      <c r="G85" s="113"/>
      <c r="H85" s="48"/>
      <c r="I85" s="49"/>
      <c r="J85" s="24"/>
      <c r="K85" s="20"/>
      <c r="L85" s="20"/>
    </row>
    <row r="86" spans="1:12" s="38" customFormat="1" ht="15.75">
      <c r="A86" s="21">
        <v>79</v>
      </c>
      <c r="B86" s="113" t="str">
        <f>IF('（様式2-2）参画事業者一覧'!$E110="","",'（様式2-2）参画事業者一覧'!$E110)</f>
        <v/>
      </c>
      <c r="C86" s="113"/>
      <c r="D86" s="113"/>
      <c r="E86" s="113"/>
      <c r="F86" s="113"/>
      <c r="G86" s="113"/>
      <c r="H86" s="48"/>
      <c r="I86" s="49"/>
      <c r="J86" s="24"/>
      <c r="K86" s="20"/>
      <c r="L86" s="20"/>
    </row>
    <row r="87" spans="1:12" s="38" customFormat="1" ht="15.75">
      <c r="A87" s="21">
        <v>80</v>
      </c>
      <c r="B87" s="113" t="str">
        <f>IF('（様式2-2）参画事業者一覧'!$E111="","",'（様式2-2）参画事業者一覧'!$E111)</f>
        <v/>
      </c>
      <c r="C87" s="113"/>
      <c r="D87" s="113"/>
      <c r="E87" s="113"/>
      <c r="F87" s="113"/>
      <c r="G87" s="113"/>
      <c r="H87" s="48"/>
      <c r="I87" s="49"/>
      <c r="J87" s="24"/>
      <c r="K87" s="20"/>
      <c r="L87" s="20"/>
    </row>
    <row r="88" spans="1:12" s="38" customFormat="1" ht="15.75">
      <c r="A88" s="21">
        <v>81</v>
      </c>
      <c r="B88" s="113" t="str">
        <f>IF('（様式2-2）参画事業者一覧'!$E112="","",'（様式2-2）参画事業者一覧'!$E112)</f>
        <v/>
      </c>
      <c r="C88" s="113"/>
      <c r="D88" s="113"/>
      <c r="E88" s="113"/>
      <c r="F88" s="113"/>
      <c r="G88" s="113"/>
      <c r="H88" s="48"/>
      <c r="I88" s="49"/>
      <c r="J88" s="24"/>
      <c r="K88" s="20"/>
      <c r="L88" s="20"/>
    </row>
    <row r="89" spans="1:12" s="38" customFormat="1" ht="15.75">
      <c r="A89" s="21">
        <v>82</v>
      </c>
      <c r="B89" s="113" t="str">
        <f>IF('（様式2-2）参画事業者一覧'!$E113="","",'（様式2-2）参画事業者一覧'!$E113)</f>
        <v/>
      </c>
      <c r="C89" s="113"/>
      <c r="D89" s="113"/>
      <c r="E89" s="113"/>
      <c r="F89" s="113"/>
      <c r="G89" s="113"/>
      <c r="H89" s="48"/>
      <c r="I89" s="49"/>
      <c r="J89" s="24"/>
      <c r="K89" s="20"/>
      <c r="L89" s="20"/>
    </row>
    <row r="90" spans="1:12" s="38" customFormat="1" ht="15.75">
      <c r="A90" s="21">
        <v>83</v>
      </c>
      <c r="B90" s="113" t="str">
        <f>IF('（様式2-2）参画事業者一覧'!$E114="","",'（様式2-2）参画事業者一覧'!$E114)</f>
        <v/>
      </c>
      <c r="C90" s="113"/>
      <c r="D90" s="113"/>
      <c r="E90" s="113"/>
      <c r="F90" s="113"/>
      <c r="G90" s="113"/>
      <c r="H90" s="48"/>
      <c r="I90" s="49"/>
      <c r="J90" s="24"/>
      <c r="K90" s="20"/>
      <c r="L90" s="20"/>
    </row>
    <row r="91" spans="1:12" s="38" customFormat="1" ht="15.75">
      <c r="A91" s="21">
        <v>84</v>
      </c>
      <c r="B91" s="113" t="str">
        <f>IF('（様式2-2）参画事業者一覧'!$E115="","",'（様式2-2）参画事業者一覧'!$E115)</f>
        <v/>
      </c>
      <c r="C91" s="113"/>
      <c r="D91" s="113"/>
      <c r="E91" s="113"/>
      <c r="F91" s="113"/>
      <c r="G91" s="113"/>
      <c r="H91" s="48"/>
      <c r="I91" s="49"/>
      <c r="J91" s="24"/>
      <c r="K91" s="20"/>
      <c r="L91" s="20"/>
    </row>
    <row r="92" spans="1:12" s="38" customFormat="1" ht="15.75">
      <c r="A92" s="21">
        <v>85</v>
      </c>
      <c r="B92" s="113" t="str">
        <f>IF('（様式2-2）参画事業者一覧'!$E116="","",'（様式2-2）参画事業者一覧'!$E116)</f>
        <v/>
      </c>
      <c r="C92" s="113"/>
      <c r="D92" s="113"/>
      <c r="E92" s="113"/>
      <c r="F92" s="113"/>
      <c r="G92" s="113"/>
      <c r="H92" s="48"/>
      <c r="I92" s="49"/>
      <c r="J92" s="24"/>
      <c r="K92" s="20"/>
      <c r="L92" s="20"/>
    </row>
    <row r="93" spans="1:12" s="38" customFormat="1" ht="15.75">
      <c r="A93" s="21">
        <v>86</v>
      </c>
      <c r="B93" s="113" t="str">
        <f>IF('（様式2-2）参画事業者一覧'!$E117="","",'（様式2-2）参画事業者一覧'!$E117)</f>
        <v/>
      </c>
      <c r="C93" s="113"/>
      <c r="D93" s="113"/>
      <c r="E93" s="113"/>
      <c r="F93" s="113"/>
      <c r="G93" s="113"/>
      <c r="H93" s="48"/>
      <c r="I93" s="49"/>
      <c r="J93" s="24"/>
      <c r="K93" s="20"/>
      <c r="L93" s="20"/>
    </row>
    <row r="94" spans="1:12" s="38" customFormat="1" ht="15.75">
      <c r="A94" s="21">
        <v>87</v>
      </c>
      <c r="B94" s="113" t="str">
        <f>IF('（様式2-2）参画事業者一覧'!$E118="","",'（様式2-2）参画事業者一覧'!$E118)</f>
        <v/>
      </c>
      <c r="C94" s="113"/>
      <c r="D94" s="113"/>
      <c r="E94" s="113"/>
      <c r="F94" s="113"/>
      <c r="G94" s="113"/>
      <c r="H94" s="48"/>
      <c r="I94" s="49"/>
      <c r="J94" s="24"/>
      <c r="K94" s="20"/>
      <c r="L94" s="20"/>
    </row>
    <row r="95" spans="1:12" s="38" customFormat="1" ht="15.75">
      <c r="A95" s="21">
        <v>88</v>
      </c>
      <c r="B95" s="113" t="str">
        <f>IF('（様式2-2）参画事業者一覧'!$E119="","",'（様式2-2）参画事業者一覧'!$E119)</f>
        <v/>
      </c>
      <c r="C95" s="113"/>
      <c r="D95" s="113"/>
      <c r="E95" s="113"/>
      <c r="F95" s="113"/>
      <c r="G95" s="113"/>
      <c r="H95" s="48"/>
      <c r="I95" s="49"/>
      <c r="J95" s="24"/>
      <c r="K95" s="20"/>
      <c r="L95" s="20"/>
    </row>
    <row r="96" spans="1:12" s="38" customFormat="1" ht="15.75">
      <c r="A96" s="21">
        <v>89</v>
      </c>
      <c r="B96" s="113" t="str">
        <f>IF('（様式2-2）参画事業者一覧'!$E120="","",'（様式2-2）参画事業者一覧'!$E120)</f>
        <v/>
      </c>
      <c r="C96" s="113"/>
      <c r="D96" s="113"/>
      <c r="E96" s="113"/>
      <c r="F96" s="113"/>
      <c r="G96" s="113"/>
      <c r="H96" s="48"/>
      <c r="I96" s="49"/>
      <c r="J96" s="24"/>
      <c r="K96" s="20"/>
      <c r="L96" s="20"/>
    </row>
    <row r="97" spans="1:12" s="38" customFormat="1" ht="15.75">
      <c r="A97" s="21">
        <v>90</v>
      </c>
      <c r="B97" s="113" t="str">
        <f>IF('（様式2-2）参画事業者一覧'!$E121="","",'（様式2-2）参画事業者一覧'!$E121)</f>
        <v/>
      </c>
      <c r="C97" s="113"/>
      <c r="D97" s="113"/>
      <c r="E97" s="113"/>
      <c r="F97" s="113"/>
      <c r="G97" s="113"/>
      <c r="H97" s="48"/>
      <c r="I97" s="49"/>
      <c r="J97" s="24"/>
      <c r="K97" s="20"/>
      <c r="L97" s="20"/>
    </row>
    <row r="98" spans="1:12" s="38" customFormat="1" ht="15.75">
      <c r="A98" s="21">
        <v>91</v>
      </c>
      <c r="B98" s="113" t="str">
        <f>IF('（様式2-2）参画事業者一覧'!$E122="","",'（様式2-2）参画事業者一覧'!$E122)</f>
        <v/>
      </c>
      <c r="C98" s="113"/>
      <c r="D98" s="113"/>
      <c r="E98" s="113"/>
      <c r="F98" s="113"/>
      <c r="G98" s="113"/>
      <c r="H98" s="48"/>
      <c r="I98" s="49"/>
      <c r="J98" s="24"/>
      <c r="K98" s="20"/>
      <c r="L98" s="20"/>
    </row>
    <row r="99" spans="1:12" s="38" customFormat="1" ht="15.75">
      <c r="A99" s="21">
        <v>92</v>
      </c>
      <c r="B99" s="113" t="str">
        <f>IF('（様式2-2）参画事業者一覧'!$E123="","",'（様式2-2）参画事業者一覧'!$E123)</f>
        <v/>
      </c>
      <c r="C99" s="113"/>
      <c r="D99" s="113"/>
      <c r="E99" s="113"/>
      <c r="F99" s="113"/>
      <c r="G99" s="113"/>
      <c r="H99" s="48"/>
      <c r="I99" s="49"/>
      <c r="J99" s="24"/>
      <c r="K99" s="20"/>
      <c r="L99" s="20"/>
    </row>
    <row r="100" spans="1:12" s="38" customFormat="1" ht="15.75">
      <c r="A100" s="21">
        <v>93</v>
      </c>
      <c r="B100" s="113" t="str">
        <f>IF('（様式2-2）参画事業者一覧'!$E124="","",'（様式2-2）参画事業者一覧'!$E124)</f>
        <v/>
      </c>
      <c r="C100" s="113"/>
      <c r="D100" s="113"/>
      <c r="E100" s="113"/>
      <c r="F100" s="113"/>
      <c r="G100" s="113"/>
      <c r="H100" s="48"/>
      <c r="I100" s="49"/>
      <c r="J100" s="24"/>
      <c r="K100" s="20"/>
      <c r="L100" s="20"/>
    </row>
    <row r="101" spans="1:12" s="38" customFormat="1" ht="15.75">
      <c r="A101" s="21">
        <v>94</v>
      </c>
      <c r="B101" s="113" t="str">
        <f>IF('（様式2-2）参画事業者一覧'!$E125="","",'（様式2-2）参画事業者一覧'!$E125)</f>
        <v/>
      </c>
      <c r="C101" s="113"/>
      <c r="D101" s="113"/>
      <c r="E101" s="113"/>
      <c r="F101" s="113"/>
      <c r="G101" s="113"/>
      <c r="H101" s="48"/>
      <c r="I101" s="49"/>
      <c r="J101" s="24"/>
      <c r="K101" s="20"/>
      <c r="L101" s="20"/>
    </row>
    <row r="102" spans="1:12" s="38" customFormat="1" ht="15.75">
      <c r="A102" s="21">
        <v>95</v>
      </c>
      <c r="B102" s="113" t="str">
        <f>IF('（様式2-2）参画事業者一覧'!$E126="","",'（様式2-2）参画事業者一覧'!$E126)</f>
        <v/>
      </c>
      <c r="C102" s="113"/>
      <c r="D102" s="113"/>
      <c r="E102" s="113"/>
      <c r="F102" s="113"/>
      <c r="G102" s="113"/>
      <c r="H102" s="48"/>
      <c r="I102" s="49"/>
      <c r="J102" s="24"/>
      <c r="K102" s="20"/>
      <c r="L102" s="20"/>
    </row>
    <row r="103" spans="1:12" s="38" customFormat="1" ht="15.75">
      <c r="A103" s="21">
        <v>96</v>
      </c>
      <c r="B103" s="113" t="str">
        <f>IF('（様式2-2）参画事業者一覧'!$E127="","",'（様式2-2）参画事業者一覧'!$E127)</f>
        <v/>
      </c>
      <c r="C103" s="113"/>
      <c r="D103" s="113"/>
      <c r="E103" s="113"/>
      <c r="F103" s="113"/>
      <c r="G103" s="113"/>
      <c r="H103" s="48"/>
      <c r="I103" s="49"/>
      <c r="J103" s="24"/>
      <c r="K103" s="20"/>
      <c r="L103" s="20"/>
    </row>
    <row r="104" spans="1:12" s="38" customFormat="1" ht="15.75">
      <c r="A104" s="21">
        <v>97</v>
      </c>
      <c r="B104" s="113" t="str">
        <f>IF('（様式2-2）参画事業者一覧'!$E128="","",'（様式2-2）参画事業者一覧'!$E128)</f>
        <v/>
      </c>
      <c r="C104" s="113"/>
      <c r="D104" s="113"/>
      <c r="E104" s="113"/>
      <c r="F104" s="113"/>
      <c r="G104" s="113"/>
      <c r="H104" s="48"/>
      <c r="I104" s="49"/>
      <c r="J104" s="24"/>
      <c r="K104" s="20"/>
      <c r="L104" s="20"/>
    </row>
    <row r="105" spans="1:12" s="38" customFormat="1" ht="15.75">
      <c r="A105" s="21">
        <v>98</v>
      </c>
      <c r="B105" s="113" t="str">
        <f>IF('（様式2-2）参画事業者一覧'!$E129="","",'（様式2-2）参画事業者一覧'!$E129)</f>
        <v/>
      </c>
      <c r="C105" s="113"/>
      <c r="D105" s="113"/>
      <c r="E105" s="113"/>
      <c r="F105" s="113"/>
      <c r="G105" s="113"/>
      <c r="H105" s="48"/>
      <c r="I105" s="49"/>
      <c r="J105" s="24"/>
      <c r="K105" s="20"/>
      <c r="L105" s="20"/>
    </row>
    <row r="106" spans="1:12" s="38" customFormat="1" ht="15.75">
      <c r="A106" s="21">
        <v>99</v>
      </c>
      <c r="B106" s="113" t="str">
        <f>IF('（様式2-2）参画事業者一覧'!$E130="","",'（様式2-2）参画事業者一覧'!$E130)</f>
        <v/>
      </c>
      <c r="C106" s="113"/>
      <c r="D106" s="113"/>
      <c r="E106" s="113"/>
      <c r="F106" s="113"/>
      <c r="G106" s="113"/>
      <c r="H106" s="48"/>
      <c r="I106" s="49"/>
      <c r="J106" s="24"/>
      <c r="K106" s="20"/>
      <c r="L106" s="20"/>
    </row>
    <row r="107" spans="1:12" s="38" customFormat="1" ht="15.75">
      <c r="A107" s="21">
        <v>100</v>
      </c>
      <c r="B107" s="113" t="str">
        <f>IF('（様式2-2）参画事業者一覧'!$E131="","",'（様式2-2）参画事業者一覧'!$E131)</f>
        <v/>
      </c>
      <c r="C107" s="113"/>
      <c r="D107" s="113"/>
      <c r="E107" s="113"/>
      <c r="F107" s="113"/>
      <c r="G107" s="113"/>
      <c r="H107" s="48"/>
      <c r="I107" s="49"/>
      <c r="J107" s="24"/>
      <c r="K107" s="20"/>
      <c r="L107" s="20"/>
    </row>
    <row r="108" spans="1:12" ht="30" customHeight="1">
      <c r="I108" s="50"/>
      <c r="J108" s="13"/>
    </row>
  </sheetData>
  <sheetProtection algorithmName="SHA-512" hashValue="zvBUbvaPE4G6AEclQND3cz9ZD/BLWVVkNx/Dysl6MHZKQw23bQJpnPEOR1dAHvIV1raVmx3gCNGwYG9um5zkYQ==" saltValue="ZVjPZjVUPXrIELC8LXXBow==" spinCount="100000" sheet="1" objects="1" scenarios="1"/>
  <mergeCells count="103">
    <mergeCell ref="B7:G7"/>
    <mergeCell ref="B17:G17"/>
    <mergeCell ref="B16:G16"/>
    <mergeCell ref="B15:G15"/>
    <mergeCell ref="B14:G14"/>
    <mergeCell ref="B13:G13"/>
    <mergeCell ref="B12:G12"/>
    <mergeCell ref="B11:G11"/>
    <mergeCell ref="B10:G10"/>
    <mergeCell ref="B9:G9"/>
    <mergeCell ref="B25:G25"/>
    <mergeCell ref="B24:G24"/>
    <mergeCell ref="B23:G23"/>
    <mergeCell ref="B22:G22"/>
    <mergeCell ref="B21:G21"/>
    <mergeCell ref="B20:G20"/>
    <mergeCell ref="B19:G19"/>
    <mergeCell ref="B18:G18"/>
    <mergeCell ref="B8:G8"/>
    <mergeCell ref="B34:G34"/>
    <mergeCell ref="B33:G33"/>
    <mergeCell ref="B32:G32"/>
    <mergeCell ref="B31:G31"/>
    <mergeCell ref="B30:G30"/>
    <mergeCell ref="B29:G29"/>
    <mergeCell ref="B28:G28"/>
    <mergeCell ref="B27:G27"/>
    <mergeCell ref="B26:G26"/>
    <mergeCell ref="B43:G43"/>
    <mergeCell ref="B42:G42"/>
    <mergeCell ref="B41:G41"/>
    <mergeCell ref="B40:G40"/>
    <mergeCell ref="B39:G39"/>
    <mergeCell ref="B38:G38"/>
    <mergeCell ref="B37:G37"/>
    <mergeCell ref="B36:G36"/>
    <mergeCell ref="B35:G35"/>
    <mergeCell ref="B52:G52"/>
    <mergeCell ref="B51:G51"/>
    <mergeCell ref="B50:G50"/>
    <mergeCell ref="B49:G49"/>
    <mergeCell ref="B48:G48"/>
    <mergeCell ref="B47:G47"/>
    <mergeCell ref="B46:G46"/>
    <mergeCell ref="B45:G45"/>
    <mergeCell ref="B44:G44"/>
    <mergeCell ref="B61:G61"/>
    <mergeCell ref="B60:G60"/>
    <mergeCell ref="B59:G59"/>
    <mergeCell ref="B58:G58"/>
    <mergeCell ref="B57:G57"/>
    <mergeCell ref="B56:G56"/>
    <mergeCell ref="B55:G55"/>
    <mergeCell ref="B54:G54"/>
    <mergeCell ref="B53:G53"/>
    <mergeCell ref="A3:G3"/>
    <mergeCell ref="B99:G99"/>
    <mergeCell ref="B98:G98"/>
    <mergeCell ref="B97:G97"/>
    <mergeCell ref="B96:G96"/>
    <mergeCell ref="B95:G95"/>
    <mergeCell ref="B94:G94"/>
    <mergeCell ref="B93:G93"/>
    <mergeCell ref="B92:G92"/>
    <mergeCell ref="B91:G91"/>
    <mergeCell ref="B90:G90"/>
    <mergeCell ref="B89:G89"/>
    <mergeCell ref="B88:G88"/>
    <mergeCell ref="B87:G87"/>
    <mergeCell ref="B86:G86"/>
    <mergeCell ref="B85:G85"/>
    <mergeCell ref="B84:G84"/>
    <mergeCell ref="B83:G83"/>
    <mergeCell ref="B82:G82"/>
    <mergeCell ref="B81:G81"/>
    <mergeCell ref="B80:G80"/>
    <mergeCell ref="B79:G79"/>
    <mergeCell ref="B78:G78"/>
    <mergeCell ref="B77:G77"/>
    <mergeCell ref="K8:O8"/>
    <mergeCell ref="B107:G107"/>
    <mergeCell ref="B106:G106"/>
    <mergeCell ref="B105:G105"/>
    <mergeCell ref="B104:G104"/>
    <mergeCell ref="B103:G103"/>
    <mergeCell ref="B102:G102"/>
    <mergeCell ref="B101:G101"/>
    <mergeCell ref="B100:G100"/>
    <mergeCell ref="B76:G76"/>
    <mergeCell ref="B75:G75"/>
    <mergeCell ref="B74:G74"/>
    <mergeCell ref="B73:G73"/>
    <mergeCell ref="B72:G72"/>
    <mergeCell ref="B71:G71"/>
    <mergeCell ref="B70:G70"/>
    <mergeCell ref="B69:G69"/>
    <mergeCell ref="B68:G68"/>
    <mergeCell ref="B67:G67"/>
    <mergeCell ref="B66:G66"/>
    <mergeCell ref="B65:G65"/>
    <mergeCell ref="B64:G64"/>
    <mergeCell ref="B63:G63"/>
    <mergeCell ref="B62:G62"/>
  </mergeCells>
  <phoneticPr fontId="1"/>
  <conditionalFormatting sqref="H8:I107">
    <cfRule type="containsBlanks" dxfId="0" priority="1">
      <formula>LEN(TRIM(H8))=0</formula>
    </cfRule>
  </conditionalFormatting>
  <printOptions horizontalCentered="1"/>
  <pageMargins left="0.55118110236220474" right="0.55118110236220474" top="0.55118110236220474" bottom="0.55118110236220474" header="0.31496062992125984" footer="0.31496062992125984"/>
  <pageSetup paperSize="9" scale="70" fitToHeight="0" orientation="portrait" r:id="rId1"/>
  <rowBreaks count="2" manualBreakCount="2">
    <brk id="36" max="30" man="1"/>
    <brk id="77" max="30"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1270E7F681EF8145B07E6423450B6F7C" ma:contentTypeVersion="11" ma:contentTypeDescription="新しいドキュメントを作成します。" ma:contentTypeScope="" ma:versionID="4017325e0b637373f4a2f4e356215263">
  <xsd:schema xmlns:xsd="http://www.w3.org/2001/XMLSchema" xmlns:xs="http://www.w3.org/2001/XMLSchema" xmlns:p="http://schemas.microsoft.com/office/2006/metadata/properties" xmlns:ns2="460a66c6-8bb0-4334-abc1-6836a0bf0bf6" xmlns:ns3="45d62dd2-e70f-4290-bbd3-5439846c62f9" targetNamespace="http://schemas.microsoft.com/office/2006/metadata/properties" ma:root="true" ma:fieldsID="651ef14b1e4ae38be17c7be5df9c013e" ns2:_="" ns3:_="">
    <xsd:import namespace="460a66c6-8bb0-4334-abc1-6836a0bf0bf6"/>
    <xsd:import namespace="45d62dd2-e70f-4290-bbd3-5439846c62f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60a66c6-8bb0-4334-abc1-6836a0bf0bf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1c7b369e-aa46-478e-b93f-752aa8ff84cb"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45d62dd2-e70f-4290-bbd3-5439846c62f9"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eebfb03c-6663-46d5-a401-9fdda8156212}" ma:internalName="TaxCatchAll" ma:showField="CatchAllData" ma:web="45d62dd2-e70f-4290-bbd3-5439846c62f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45d62dd2-e70f-4290-bbd3-5439846c62f9" xsi:nil="true"/>
    <lcf76f155ced4ddcb4097134ff3c332f xmlns="460a66c6-8bb0-4334-abc1-6836a0bf0bf6">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F4DB39A0-E4F0-479B-B6B0-B5CD6379B4D1}"/>
</file>

<file path=customXml/itemProps2.xml><?xml version="1.0" encoding="utf-8"?>
<ds:datastoreItem xmlns:ds="http://schemas.openxmlformats.org/officeDocument/2006/customXml" ds:itemID="{F8486BAA-4666-42CB-91AA-5278F20D7D02}">
  <ds:schemaRefs>
    <ds:schemaRef ds:uri="http://schemas.microsoft.com/sharepoint/v3/contenttype/forms"/>
  </ds:schemaRefs>
</ds:datastoreItem>
</file>

<file path=customXml/itemProps3.xml><?xml version="1.0" encoding="utf-8"?>
<ds:datastoreItem xmlns:ds="http://schemas.openxmlformats.org/officeDocument/2006/customXml" ds:itemID="{E01E18D8-7B2A-4010-9785-C13734B2B199}">
  <ds:schemaRefs>
    <ds:schemaRef ds:uri="http://schemas.microsoft.com/office/2006/metadata/properties"/>
    <ds:schemaRef ds:uri="http://schemas.openxmlformats.org/package/2006/metadata/core-properties"/>
    <ds:schemaRef ds:uri="http://schemas.microsoft.com/office/infopath/2007/PartnerControls"/>
    <ds:schemaRef ds:uri="http://purl.org/dc/elements/1.1/"/>
    <ds:schemaRef ds:uri="http://purl.org/dc/dcmitype/"/>
    <ds:schemaRef ds:uri="http://schemas.microsoft.com/office/2006/documentManagement/types"/>
    <ds:schemaRef ds:uri="http://purl.org/dc/terms/"/>
    <ds:schemaRef ds:uri="http://www.w3.org/XML/1998/namespace"/>
    <ds:schemaRef ds:uri="45d62dd2-e70f-4290-bbd3-5439846c62f9"/>
    <ds:schemaRef ds:uri="460a66c6-8bb0-4334-abc1-6836a0bf0bf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（様式2-2）参画事業者一覧</vt:lpstr>
      <vt:lpstr>（別添）申請者との関係</vt:lpstr>
      <vt:lpstr>'（別添）申請者との関係'!Print_Area</vt:lpstr>
      <vt:lpstr>'（様式2-2）参画事業者一覧'!Print_Area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B水嶋 昇平</cp:lastModifiedBy>
  <cp:revision/>
  <dcterms:created xsi:type="dcterms:W3CDTF">2022-03-29T05:10:32Z</dcterms:created>
  <dcterms:modified xsi:type="dcterms:W3CDTF">2026-08-07T04:09:34Z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0x0101001270E7F681EF8145B07E6423450B6F7C</vt:lpwstr>
  </property>
  <property fmtid="{D5CDD505-2E9C-101B-9397-08002B2CF9AE}" pid="3" name="MediaServiceImageTags">
    <vt:lpwstr/>
  </property>
</Properties>
</file>